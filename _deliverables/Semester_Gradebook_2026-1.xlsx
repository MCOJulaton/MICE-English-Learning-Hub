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cojx/Vibe Coding/MICE/_deliverables/"/>
    </mc:Choice>
  </mc:AlternateContent>
  <xr:revisionPtr revIDLastSave="0" documentId="13_ncr:1_{BBD4D7DF-9F52-4046-A036-15079B513E7A}" xr6:coauthVersionLast="47" xr6:coauthVersionMax="47" xr10:uidLastSave="{00000000-0000-0000-0000-000000000000}"/>
  <bookViews>
    <workbookView xWindow="0" yWindow="680" windowWidth="29400" windowHeight="16780" activeTab="2" xr2:uid="{00000000-000D-0000-FFFF-FFFF00000000}"/>
  </bookViews>
  <sheets>
    <sheet name="EFC" sheetId="1" r:id="rId1"/>
    <sheet name="MICE TBM" sheetId="2" r:id="rId2"/>
    <sheet name="Wellness Tourism" sheetId="3" r:id="rId3"/>
    <sheet name="MICE EWT" sheetId="4" r:id="rId4"/>
  </sheets>
  <definedNames>
    <definedName name="_xlnm._FilterDatabase" localSheetId="0" hidden="1">EFC!$A$14:$AP$51</definedName>
    <definedName name="_xlnm._FilterDatabase" localSheetId="3" hidden="1">'MICE EWT'!$A$14:$BH$47</definedName>
    <definedName name="_xlnm._FilterDatabase" localSheetId="1" hidden="1">'MICE TBM'!$A$14:$BH$52</definedName>
    <definedName name="_xlnm._FilterDatabase" localSheetId="2" hidden="1">'Wellness Tourism'!$A$14:$BI$50</definedName>
    <definedName name="_xlnm.Print_Titles" localSheetId="0">EFC!$12:$14,EFC!$A:$D</definedName>
    <definedName name="_xlnm.Print_Titles" localSheetId="3">'MICE EWT'!$12:$14,'MICE EWT'!$A:$D</definedName>
    <definedName name="_xlnm.Print_Titles" localSheetId="1">'MICE TBM'!$12:$14,'MICE TBM'!$A:$D</definedName>
    <definedName name="_xlnm.Print_Titles" localSheetId="2">'Wellness Tourism'!$12:$14,'Wellness Tourism'!$A:$D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1" i="1" l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BE52" i="2"/>
  <c r="BE51" i="2"/>
  <c r="BE50" i="2"/>
  <c r="BE49" i="2"/>
  <c r="BE48" i="2"/>
  <c r="BE47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4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P15" i="2"/>
  <c r="AQ15" i="2" s="1"/>
  <c r="AZ47" i="4"/>
  <c r="AZ46" i="4"/>
  <c r="AZ45" i="4"/>
  <c r="AZ44" i="4"/>
  <c r="AZ43" i="4"/>
  <c r="AZ42" i="4"/>
  <c r="AZ41" i="4"/>
  <c r="AZ40" i="4"/>
  <c r="AZ39" i="4"/>
  <c r="AZ38" i="4"/>
  <c r="AZ37" i="4"/>
  <c r="AZ36" i="4"/>
  <c r="AZ35" i="4"/>
  <c r="AZ34" i="4"/>
  <c r="AZ33" i="4"/>
  <c r="AZ32" i="4"/>
  <c r="AZ31" i="4"/>
  <c r="AZ30" i="4"/>
  <c r="AZ29" i="4"/>
  <c r="AZ28" i="4"/>
  <c r="AZ27" i="4"/>
  <c r="AZ26" i="4"/>
  <c r="AZ25" i="4"/>
  <c r="AZ24" i="4"/>
  <c r="AZ23" i="4"/>
  <c r="AZ22" i="4"/>
  <c r="AZ21" i="4"/>
  <c r="AZ20" i="4"/>
  <c r="AZ19" i="4"/>
  <c r="AZ18" i="4"/>
  <c r="AZ17" i="4"/>
  <c r="AZ16" i="4"/>
  <c r="AZ15" i="4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BE47" i="4"/>
  <c r="BC47" i="4"/>
  <c r="AW47" i="4"/>
  <c r="AX47" i="4" s="1"/>
  <c r="AP47" i="4"/>
  <c r="AQ47" i="4" s="1"/>
  <c r="AI47" i="4"/>
  <c r="AJ47" i="4" s="1"/>
  <c r="Y47" i="4"/>
  <c r="Z47" i="4" s="1"/>
  <c r="X47" i="4"/>
  <c r="W47" i="4"/>
  <c r="AC47" i="4" s="1"/>
  <c r="V47" i="4"/>
  <c r="BE46" i="4"/>
  <c r="BC46" i="4"/>
  <c r="AW46" i="4"/>
  <c r="AX46" i="4" s="1"/>
  <c r="AP46" i="4"/>
  <c r="AQ46" i="4" s="1"/>
  <c r="AI46" i="4"/>
  <c r="AJ46" i="4" s="1"/>
  <c r="Y46" i="4"/>
  <c r="Z46" i="4" s="1"/>
  <c r="X46" i="4"/>
  <c r="W46" i="4"/>
  <c r="AC46" i="4" s="1"/>
  <c r="V46" i="4"/>
  <c r="BE45" i="4"/>
  <c r="BC45" i="4"/>
  <c r="AW45" i="4"/>
  <c r="AX45" i="4" s="1"/>
  <c r="AP45" i="4"/>
  <c r="AQ45" i="4" s="1"/>
  <c r="AI45" i="4"/>
  <c r="AJ45" i="4" s="1"/>
  <c r="Y45" i="4"/>
  <c r="Z45" i="4" s="1"/>
  <c r="X45" i="4"/>
  <c r="W45" i="4"/>
  <c r="AC45" i="4" s="1"/>
  <c r="V45" i="4"/>
  <c r="BE44" i="4"/>
  <c r="BC44" i="4"/>
  <c r="AW44" i="4"/>
  <c r="AX44" i="4" s="1"/>
  <c r="AP44" i="4"/>
  <c r="AQ44" i="4" s="1"/>
  <c r="AI44" i="4"/>
  <c r="AJ44" i="4" s="1"/>
  <c r="Y44" i="4"/>
  <c r="Z44" i="4" s="1"/>
  <c r="X44" i="4"/>
  <c r="W44" i="4"/>
  <c r="AC44" i="4" s="1"/>
  <c r="V44" i="4"/>
  <c r="BE43" i="4"/>
  <c r="BC43" i="4"/>
  <c r="AW43" i="4"/>
  <c r="AX43" i="4" s="1"/>
  <c r="AP43" i="4"/>
  <c r="AQ43" i="4" s="1"/>
  <c r="AI43" i="4"/>
  <c r="AJ43" i="4" s="1"/>
  <c r="Y43" i="4"/>
  <c r="Z43" i="4" s="1"/>
  <c r="X43" i="4"/>
  <c r="W43" i="4"/>
  <c r="AC43" i="4" s="1"/>
  <c r="V43" i="4"/>
  <c r="BE42" i="4"/>
  <c r="BC42" i="4"/>
  <c r="AW42" i="4"/>
  <c r="AX42" i="4" s="1"/>
  <c r="AP42" i="4"/>
  <c r="AQ42" i="4" s="1"/>
  <c r="AI42" i="4"/>
  <c r="AJ42" i="4" s="1"/>
  <c r="Y42" i="4"/>
  <c r="Z42" i="4" s="1"/>
  <c r="X42" i="4"/>
  <c r="W42" i="4"/>
  <c r="AC42" i="4" s="1"/>
  <c r="V42" i="4"/>
  <c r="BE41" i="4"/>
  <c r="BC41" i="4"/>
  <c r="AW41" i="4"/>
  <c r="AX41" i="4" s="1"/>
  <c r="AP41" i="4"/>
  <c r="AQ41" i="4" s="1"/>
  <c r="AI41" i="4"/>
  <c r="AJ41" i="4" s="1"/>
  <c r="Y41" i="4"/>
  <c r="Z41" i="4" s="1"/>
  <c r="X41" i="4"/>
  <c r="W41" i="4"/>
  <c r="AC41" i="4" s="1"/>
  <c r="V41" i="4"/>
  <c r="BE40" i="4"/>
  <c r="BC40" i="4"/>
  <c r="AW40" i="4"/>
  <c r="AX40" i="4" s="1"/>
  <c r="AP40" i="4"/>
  <c r="AQ40" i="4" s="1"/>
  <c r="AI40" i="4"/>
  <c r="AJ40" i="4" s="1"/>
  <c r="Y40" i="4"/>
  <c r="Z40" i="4" s="1"/>
  <c r="X40" i="4"/>
  <c r="W40" i="4"/>
  <c r="AC40" i="4" s="1"/>
  <c r="V40" i="4"/>
  <c r="BE39" i="4"/>
  <c r="BC39" i="4"/>
  <c r="AW39" i="4"/>
  <c r="AX39" i="4" s="1"/>
  <c r="AP39" i="4"/>
  <c r="AQ39" i="4" s="1"/>
  <c r="AI39" i="4"/>
  <c r="AJ39" i="4" s="1"/>
  <c r="Y39" i="4"/>
  <c r="Z39" i="4" s="1"/>
  <c r="X39" i="4"/>
  <c r="W39" i="4"/>
  <c r="AC39" i="4" s="1"/>
  <c r="V39" i="4"/>
  <c r="BE38" i="4"/>
  <c r="BC38" i="4"/>
  <c r="AW38" i="4"/>
  <c r="AX38" i="4" s="1"/>
  <c r="AP38" i="4"/>
  <c r="AQ38" i="4" s="1"/>
  <c r="AI38" i="4"/>
  <c r="AJ38" i="4" s="1"/>
  <c r="Y38" i="4"/>
  <c r="Z38" i="4" s="1"/>
  <c r="X38" i="4"/>
  <c r="W38" i="4"/>
  <c r="AC38" i="4" s="1"/>
  <c r="V38" i="4"/>
  <c r="BE37" i="4"/>
  <c r="BC37" i="4"/>
  <c r="AW37" i="4"/>
  <c r="AX37" i="4" s="1"/>
  <c r="AP37" i="4"/>
  <c r="AQ37" i="4" s="1"/>
  <c r="AI37" i="4"/>
  <c r="AJ37" i="4" s="1"/>
  <c r="Y37" i="4"/>
  <c r="Z37" i="4" s="1"/>
  <c r="X37" i="4"/>
  <c r="W37" i="4"/>
  <c r="AC37" i="4" s="1"/>
  <c r="V37" i="4"/>
  <c r="BE36" i="4"/>
  <c r="BC36" i="4"/>
  <c r="AW36" i="4"/>
  <c r="AX36" i="4" s="1"/>
  <c r="AP36" i="4"/>
  <c r="AQ36" i="4" s="1"/>
  <c r="AI36" i="4"/>
  <c r="AJ36" i="4" s="1"/>
  <c r="Y36" i="4"/>
  <c r="Z36" i="4" s="1"/>
  <c r="X36" i="4"/>
  <c r="W36" i="4"/>
  <c r="AC36" i="4" s="1"/>
  <c r="V36" i="4"/>
  <c r="BE35" i="4"/>
  <c r="BC35" i="4"/>
  <c r="AW35" i="4"/>
  <c r="AX35" i="4" s="1"/>
  <c r="AP35" i="4"/>
  <c r="AQ35" i="4" s="1"/>
  <c r="AI35" i="4"/>
  <c r="AJ35" i="4" s="1"/>
  <c r="Y35" i="4"/>
  <c r="Z35" i="4" s="1"/>
  <c r="X35" i="4"/>
  <c r="W35" i="4"/>
  <c r="AC35" i="4" s="1"/>
  <c r="V35" i="4"/>
  <c r="BE34" i="4"/>
  <c r="BC34" i="4"/>
  <c r="AW34" i="4"/>
  <c r="AX34" i="4" s="1"/>
  <c r="AP34" i="4"/>
  <c r="AQ34" i="4" s="1"/>
  <c r="AI34" i="4"/>
  <c r="AJ34" i="4" s="1"/>
  <c r="Y34" i="4"/>
  <c r="Z34" i="4" s="1"/>
  <c r="X34" i="4"/>
  <c r="W34" i="4"/>
  <c r="AC34" i="4" s="1"/>
  <c r="V34" i="4"/>
  <c r="BE33" i="4"/>
  <c r="BC33" i="4"/>
  <c r="AW33" i="4"/>
  <c r="AX33" i="4" s="1"/>
  <c r="AP33" i="4"/>
  <c r="AQ33" i="4" s="1"/>
  <c r="AI33" i="4"/>
  <c r="AJ33" i="4" s="1"/>
  <c r="Y33" i="4"/>
  <c r="Z33" i="4" s="1"/>
  <c r="X33" i="4"/>
  <c r="W33" i="4"/>
  <c r="AC33" i="4" s="1"/>
  <c r="V33" i="4"/>
  <c r="BE32" i="4"/>
  <c r="BC32" i="4"/>
  <c r="AW32" i="4"/>
  <c r="AX32" i="4" s="1"/>
  <c r="AP32" i="4"/>
  <c r="AQ32" i="4" s="1"/>
  <c r="AI32" i="4"/>
  <c r="AJ32" i="4" s="1"/>
  <c r="Y32" i="4"/>
  <c r="Z32" i="4" s="1"/>
  <c r="X32" i="4"/>
  <c r="W32" i="4"/>
  <c r="AC32" i="4" s="1"/>
  <c r="V32" i="4"/>
  <c r="BE31" i="4"/>
  <c r="BC31" i="4"/>
  <c r="AW31" i="4"/>
  <c r="AX31" i="4" s="1"/>
  <c r="AP31" i="4"/>
  <c r="AQ31" i="4" s="1"/>
  <c r="AI31" i="4"/>
  <c r="AJ31" i="4" s="1"/>
  <c r="Y31" i="4"/>
  <c r="Z31" i="4" s="1"/>
  <c r="X31" i="4"/>
  <c r="W31" i="4"/>
  <c r="AC31" i="4" s="1"/>
  <c r="V31" i="4"/>
  <c r="BE30" i="4"/>
  <c r="BC30" i="4"/>
  <c r="AW30" i="4"/>
  <c r="AX30" i="4" s="1"/>
  <c r="AP30" i="4"/>
  <c r="AQ30" i="4" s="1"/>
  <c r="AI30" i="4"/>
  <c r="AJ30" i="4" s="1"/>
  <c r="Y30" i="4"/>
  <c r="Z30" i="4" s="1"/>
  <c r="X30" i="4"/>
  <c r="W30" i="4"/>
  <c r="AC30" i="4" s="1"/>
  <c r="V30" i="4"/>
  <c r="BE29" i="4"/>
  <c r="BC29" i="4"/>
  <c r="AW29" i="4"/>
  <c r="AX29" i="4" s="1"/>
  <c r="AP29" i="4"/>
  <c r="AQ29" i="4" s="1"/>
  <c r="AI29" i="4"/>
  <c r="AJ29" i="4" s="1"/>
  <c r="Y29" i="4"/>
  <c r="Z29" i="4" s="1"/>
  <c r="X29" i="4"/>
  <c r="W29" i="4"/>
  <c r="AC29" i="4" s="1"/>
  <c r="V29" i="4"/>
  <c r="BE28" i="4"/>
  <c r="BC28" i="4"/>
  <c r="AW28" i="4"/>
  <c r="AX28" i="4" s="1"/>
  <c r="AP28" i="4"/>
  <c r="AQ28" i="4" s="1"/>
  <c r="AI28" i="4"/>
  <c r="AJ28" i="4" s="1"/>
  <c r="Y28" i="4"/>
  <c r="Z28" i="4" s="1"/>
  <c r="X28" i="4"/>
  <c r="W28" i="4"/>
  <c r="AC28" i="4" s="1"/>
  <c r="V28" i="4"/>
  <c r="BE27" i="4"/>
  <c r="BC27" i="4"/>
  <c r="AW27" i="4"/>
  <c r="AX27" i="4" s="1"/>
  <c r="AP27" i="4"/>
  <c r="AQ27" i="4" s="1"/>
  <c r="AI27" i="4"/>
  <c r="AJ27" i="4" s="1"/>
  <c r="Y27" i="4"/>
  <c r="Z27" i="4" s="1"/>
  <c r="X27" i="4"/>
  <c r="W27" i="4"/>
  <c r="AC27" i="4" s="1"/>
  <c r="V27" i="4"/>
  <c r="BE26" i="4"/>
  <c r="BC26" i="4"/>
  <c r="AW26" i="4"/>
  <c r="AX26" i="4" s="1"/>
  <c r="AP26" i="4"/>
  <c r="AQ26" i="4" s="1"/>
  <c r="AI26" i="4"/>
  <c r="AJ26" i="4" s="1"/>
  <c r="Y26" i="4"/>
  <c r="Z26" i="4" s="1"/>
  <c r="X26" i="4"/>
  <c r="W26" i="4"/>
  <c r="AC26" i="4" s="1"/>
  <c r="V26" i="4"/>
  <c r="BE25" i="4"/>
  <c r="BC25" i="4"/>
  <c r="AW25" i="4"/>
  <c r="AX25" i="4" s="1"/>
  <c r="AP25" i="4"/>
  <c r="AQ25" i="4" s="1"/>
  <c r="AI25" i="4"/>
  <c r="AJ25" i="4" s="1"/>
  <c r="Y25" i="4"/>
  <c r="Z25" i="4" s="1"/>
  <c r="X25" i="4"/>
  <c r="W25" i="4"/>
  <c r="AC25" i="4" s="1"/>
  <c r="V25" i="4"/>
  <c r="BE24" i="4"/>
  <c r="BC24" i="4"/>
  <c r="AW24" i="4"/>
  <c r="AX24" i="4" s="1"/>
  <c r="AP24" i="4"/>
  <c r="AQ24" i="4" s="1"/>
  <c r="AI24" i="4"/>
  <c r="AJ24" i="4" s="1"/>
  <c r="Y24" i="4"/>
  <c r="Z24" i="4" s="1"/>
  <c r="X24" i="4"/>
  <c r="W24" i="4"/>
  <c r="AC24" i="4" s="1"/>
  <c r="V24" i="4"/>
  <c r="BE23" i="4"/>
  <c r="BC23" i="4"/>
  <c r="AW23" i="4"/>
  <c r="AX23" i="4" s="1"/>
  <c r="AP23" i="4"/>
  <c r="AQ23" i="4" s="1"/>
  <c r="AI23" i="4"/>
  <c r="AJ23" i="4" s="1"/>
  <c r="Y23" i="4"/>
  <c r="Z23" i="4" s="1"/>
  <c r="X23" i="4"/>
  <c r="W23" i="4"/>
  <c r="AC23" i="4" s="1"/>
  <c r="V23" i="4"/>
  <c r="BE22" i="4"/>
  <c r="BC22" i="4"/>
  <c r="AW22" i="4"/>
  <c r="AX22" i="4" s="1"/>
  <c r="AP22" i="4"/>
  <c r="AQ22" i="4" s="1"/>
  <c r="AI22" i="4"/>
  <c r="AJ22" i="4" s="1"/>
  <c r="Y22" i="4"/>
  <c r="Z22" i="4" s="1"/>
  <c r="X22" i="4"/>
  <c r="W22" i="4"/>
  <c r="AC22" i="4" s="1"/>
  <c r="V22" i="4"/>
  <c r="BE21" i="4"/>
  <c r="BC21" i="4"/>
  <c r="AW21" i="4"/>
  <c r="AX21" i="4" s="1"/>
  <c r="AP21" i="4"/>
  <c r="AQ21" i="4" s="1"/>
  <c r="AI21" i="4"/>
  <c r="AJ21" i="4" s="1"/>
  <c r="Y21" i="4"/>
  <c r="Z21" i="4" s="1"/>
  <c r="X21" i="4"/>
  <c r="W21" i="4"/>
  <c r="AC21" i="4" s="1"/>
  <c r="V21" i="4"/>
  <c r="BE20" i="4"/>
  <c r="BC20" i="4"/>
  <c r="AW20" i="4"/>
  <c r="AX20" i="4" s="1"/>
  <c r="AP20" i="4"/>
  <c r="AQ20" i="4" s="1"/>
  <c r="AI20" i="4"/>
  <c r="AJ20" i="4" s="1"/>
  <c r="Y20" i="4"/>
  <c r="Z20" i="4" s="1"/>
  <c r="X20" i="4"/>
  <c r="W20" i="4"/>
  <c r="AC20" i="4" s="1"/>
  <c r="V20" i="4"/>
  <c r="BE19" i="4"/>
  <c r="BC19" i="4"/>
  <c r="AW19" i="4"/>
  <c r="AX19" i="4" s="1"/>
  <c r="AP19" i="4"/>
  <c r="AQ19" i="4" s="1"/>
  <c r="AI19" i="4"/>
  <c r="AJ19" i="4" s="1"/>
  <c r="Y19" i="4"/>
  <c r="Z19" i="4" s="1"/>
  <c r="X19" i="4"/>
  <c r="W19" i="4"/>
  <c r="AC19" i="4" s="1"/>
  <c r="V19" i="4"/>
  <c r="BE18" i="4"/>
  <c r="BC18" i="4"/>
  <c r="AW18" i="4"/>
  <c r="AX18" i="4" s="1"/>
  <c r="AP18" i="4"/>
  <c r="AQ18" i="4" s="1"/>
  <c r="AI18" i="4"/>
  <c r="AJ18" i="4" s="1"/>
  <c r="Y18" i="4"/>
  <c r="Z18" i="4" s="1"/>
  <c r="X18" i="4"/>
  <c r="W18" i="4"/>
  <c r="AC18" i="4" s="1"/>
  <c r="V18" i="4"/>
  <c r="BE17" i="4"/>
  <c r="BC17" i="4"/>
  <c r="AW17" i="4"/>
  <c r="AX17" i="4" s="1"/>
  <c r="AP17" i="4"/>
  <c r="AI17" i="4"/>
  <c r="AJ17" i="4" s="1"/>
  <c r="Y17" i="4"/>
  <c r="Z17" i="4" s="1"/>
  <c r="X17" i="4"/>
  <c r="W17" i="4"/>
  <c r="AC17" i="4" s="1"/>
  <c r="V17" i="4"/>
  <c r="BE16" i="4"/>
  <c r="BC16" i="4"/>
  <c r="AW16" i="4"/>
  <c r="AX16" i="4" s="1"/>
  <c r="AP16" i="4"/>
  <c r="AQ16" i="4" s="1"/>
  <c r="AI16" i="4"/>
  <c r="AJ16" i="4" s="1"/>
  <c r="Y16" i="4"/>
  <c r="Z16" i="4" s="1"/>
  <c r="X16" i="4"/>
  <c r="W16" i="4"/>
  <c r="AC16" i="4" s="1"/>
  <c r="V16" i="4"/>
  <c r="BE15" i="4"/>
  <c r="BC15" i="4"/>
  <c r="AW15" i="4"/>
  <c r="AX15" i="4" s="1"/>
  <c r="AP15" i="4"/>
  <c r="AQ15" i="4" s="1"/>
  <c r="AI15" i="4"/>
  <c r="AJ15" i="4" s="1"/>
  <c r="Y15" i="4"/>
  <c r="Z15" i="4" s="1"/>
  <c r="X15" i="4"/>
  <c r="W15" i="4"/>
  <c r="V15" i="4"/>
  <c r="H10" i="4"/>
  <c r="A7" i="4"/>
  <c r="A6" i="4"/>
  <c r="BF50" i="3"/>
  <c r="BD50" i="3"/>
  <c r="AX50" i="3"/>
  <c r="AY50" i="3" s="1"/>
  <c r="AQ50" i="3"/>
  <c r="AR50" i="3" s="1"/>
  <c r="AI50" i="3"/>
  <c r="AJ50" i="3" s="1"/>
  <c r="Y50" i="3"/>
  <c r="Z50" i="3" s="1"/>
  <c r="X50" i="3"/>
  <c r="W50" i="3"/>
  <c r="AC50" i="3" s="1"/>
  <c r="V50" i="3"/>
  <c r="BF49" i="3"/>
  <c r="BD49" i="3"/>
  <c r="AX49" i="3"/>
  <c r="AY49" i="3" s="1"/>
  <c r="AQ49" i="3"/>
  <c r="AR49" i="3" s="1"/>
  <c r="AI49" i="3"/>
  <c r="AJ49" i="3" s="1"/>
  <c r="Y49" i="3"/>
  <c r="Z49" i="3" s="1"/>
  <c r="X49" i="3"/>
  <c r="W49" i="3"/>
  <c r="AC49" i="3" s="1"/>
  <c r="V49" i="3"/>
  <c r="BF48" i="3"/>
  <c r="BD48" i="3"/>
  <c r="AX48" i="3"/>
  <c r="AY48" i="3" s="1"/>
  <c r="AQ48" i="3"/>
  <c r="AR48" i="3" s="1"/>
  <c r="AI48" i="3"/>
  <c r="AJ48" i="3" s="1"/>
  <c r="Y48" i="3"/>
  <c r="Z48" i="3" s="1"/>
  <c r="X48" i="3"/>
  <c r="W48" i="3"/>
  <c r="AC48" i="3" s="1"/>
  <c r="V48" i="3"/>
  <c r="BF47" i="3"/>
  <c r="BD47" i="3"/>
  <c r="AX47" i="3"/>
  <c r="AY47" i="3" s="1"/>
  <c r="AQ47" i="3"/>
  <c r="AR47" i="3" s="1"/>
  <c r="AI47" i="3"/>
  <c r="AJ47" i="3" s="1"/>
  <c r="Y47" i="3"/>
  <c r="Z47" i="3" s="1"/>
  <c r="X47" i="3"/>
  <c r="W47" i="3"/>
  <c r="AC47" i="3" s="1"/>
  <c r="V47" i="3"/>
  <c r="BF46" i="3"/>
  <c r="BD46" i="3"/>
  <c r="AX46" i="3"/>
  <c r="AY46" i="3" s="1"/>
  <c r="AQ46" i="3"/>
  <c r="AR46" i="3" s="1"/>
  <c r="AI46" i="3"/>
  <c r="AJ46" i="3" s="1"/>
  <c r="Y46" i="3"/>
  <c r="Z46" i="3" s="1"/>
  <c r="X46" i="3"/>
  <c r="W46" i="3"/>
  <c r="AC46" i="3" s="1"/>
  <c r="V46" i="3"/>
  <c r="BF45" i="3"/>
  <c r="BD45" i="3"/>
  <c r="AX45" i="3"/>
  <c r="AY45" i="3" s="1"/>
  <c r="AQ45" i="3"/>
  <c r="AR45" i="3" s="1"/>
  <c r="AI45" i="3"/>
  <c r="AJ45" i="3" s="1"/>
  <c r="Y45" i="3"/>
  <c r="Z45" i="3" s="1"/>
  <c r="X45" i="3"/>
  <c r="W45" i="3"/>
  <c r="AC45" i="3" s="1"/>
  <c r="V45" i="3"/>
  <c r="BF44" i="3"/>
  <c r="BD44" i="3"/>
  <c r="AX44" i="3"/>
  <c r="AY44" i="3" s="1"/>
  <c r="AQ44" i="3"/>
  <c r="AR44" i="3" s="1"/>
  <c r="AI44" i="3"/>
  <c r="AJ44" i="3" s="1"/>
  <c r="Y44" i="3"/>
  <c r="Z44" i="3" s="1"/>
  <c r="X44" i="3"/>
  <c r="W44" i="3"/>
  <c r="AC44" i="3" s="1"/>
  <c r="V44" i="3"/>
  <c r="BF43" i="3"/>
  <c r="BD43" i="3"/>
  <c r="AX43" i="3"/>
  <c r="AY43" i="3" s="1"/>
  <c r="AQ43" i="3"/>
  <c r="AR43" i="3" s="1"/>
  <c r="AI43" i="3"/>
  <c r="AJ43" i="3" s="1"/>
  <c r="Y43" i="3"/>
  <c r="Z43" i="3" s="1"/>
  <c r="X43" i="3"/>
  <c r="W43" i="3"/>
  <c r="AC43" i="3" s="1"/>
  <c r="V43" i="3"/>
  <c r="BF42" i="3"/>
  <c r="BD42" i="3"/>
  <c r="AX42" i="3"/>
  <c r="AY42" i="3" s="1"/>
  <c r="AQ42" i="3"/>
  <c r="AR42" i="3" s="1"/>
  <c r="AI42" i="3"/>
  <c r="AJ42" i="3" s="1"/>
  <c r="Y42" i="3"/>
  <c r="Z42" i="3" s="1"/>
  <c r="X42" i="3"/>
  <c r="W42" i="3"/>
  <c r="AC42" i="3" s="1"/>
  <c r="V42" i="3"/>
  <c r="BF41" i="3"/>
  <c r="BD41" i="3"/>
  <c r="AX41" i="3"/>
  <c r="AY41" i="3" s="1"/>
  <c r="AQ41" i="3"/>
  <c r="AR41" i="3" s="1"/>
  <c r="AI41" i="3"/>
  <c r="AJ41" i="3" s="1"/>
  <c r="Y41" i="3"/>
  <c r="Z41" i="3" s="1"/>
  <c r="X41" i="3"/>
  <c r="W41" i="3"/>
  <c r="AC41" i="3" s="1"/>
  <c r="V41" i="3"/>
  <c r="BF40" i="3"/>
  <c r="BD40" i="3"/>
  <c r="AX40" i="3"/>
  <c r="AY40" i="3" s="1"/>
  <c r="AQ40" i="3"/>
  <c r="AR40" i="3" s="1"/>
  <c r="AI40" i="3"/>
  <c r="AJ40" i="3" s="1"/>
  <c r="Y40" i="3"/>
  <c r="Z40" i="3" s="1"/>
  <c r="X40" i="3"/>
  <c r="W40" i="3"/>
  <c r="AC40" i="3" s="1"/>
  <c r="V40" i="3"/>
  <c r="BF39" i="3"/>
  <c r="BD39" i="3"/>
  <c r="AX39" i="3"/>
  <c r="AY39" i="3" s="1"/>
  <c r="AQ39" i="3"/>
  <c r="AR39" i="3" s="1"/>
  <c r="AI39" i="3"/>
  <c r="AJ39" i="3" s="1"/>
  <c r="Y39" i="3"/>
  <c r="Z39" i="3" s="1"/>
  <c r="X39" i="3"/>
  <c r="W39" i="3"/>
  <c r="AC39" i="3" s="1"/>
  <c r="V39" i="3"/>
  <c r="BF38" i="3"/>
  <c r="BD38" i="3"/>
  <c r="AX38" i="3"/>
  <c r="AY38" i="3" s="1"/>
  <c r="AQ38" i="3"/>
  <c r="AR38" i="3" s="1"/>
  <c r="AI38" i="3"/>
  <c r="AJ38" i="3" s="1"/>
  <c r="Y38" i="3"/>
  <c r="Z38" i="3" s="1"/>
  <c r="X38" i="3"/>
  <c r="W38" i="3"/>
  <c r="AC38" i="3" s="1"/>
  <c r="V38" i="3"/>
  <c r="BF37" i="3"/>
  <c r="BD37" i="3"/>
  <c r="AX37" i="3"/>
  <c r="AY37" i="3" s="1"/>
  <c r="AQ37" i="3"/>
  <c r="AR37" i="3" s="1"/>
  <c r="AI37" i="3"/>
  <c r="AJ37" i="3" s="1"/>
  <c r="Y37" i="3"/>
  <c r="Z37" i="3" s="1"/>
  <c r="X37" i="3"/>
  <c r="W37" i="3"/>
  <c r="AC37" i="3" s="1"/>
  <c r="V37" i="3"/>
  <c r="BF36" i="3"/>
  <c r="BD36" i="3"/>
  <c r="AX36" i="3"/>
  <c r="AY36" i="3" s="1"/>
  <c r="AQ36" i="3"/>
  <c r="AR36" i="3" s="1"/>
  <c r="AI36" i="3"/>
  <c r="AJ36" i="3" s="1"/>
  <c r="Y36" i="3"/>
  <c r="Z36" i="3" s="1"/>
  <c r="X36" i="3"/>
  <c r="W36" i="3"/>
  <c r="AC36" i="3" s="1"/>
  <c r="V36" i="3"/>
  <c r="BF35" i="3"/>
  <c r="BD35" i="3"/>
  <c r="AX35" i="3"/>
  <c r="AY35" i="3" s="1"/>
  <c r="AQ35" i="3"/>
  <c r="AR35" i="3" s="1"/>
  <c r="AI35" i="3"/>
  <c r="AJ35" i="3" s="1"/>
  <c r="Y35" i="3"/>
  <c r="Z35" i="3" s="1"/>
  <c r="X35" i="3"/>
  <c r="W35" i="3"/>
  <c r="AC35" i="3" s="1"/>
  <c r="V35" i="3"/>
  <c r="BF34" i="3"/>
  <c r="BD34" i="3"/>
  <c r="AX34" i="3"/>
  <c r="AY34" i="3" s="1"/>
  <c r="AQ34" i="3"/>
  <c r="AR34" i="3" s="1"/>
  <c r="AI34" i="3"/>
  <c r="AJ34" i="3" s="1"/>
  <c r="Y34" i="3"/>
  <c r="Z34" i="3" s="1"/>
  <c r="X34" i="3"/>
  <c r="W34" i="3"/>
  <c r="AC34" i="3" s="1"/>
  <c r="V34" i="3"/>
  <c r="BF33" i="3"/>
  <c r="BD33" i="3"/>
  <c r="AX33" i="3"/>
  <c r="AY33" i="3" s="1"/>
  <c r="AQ33" i="3"/>
  <c r="AR33" i="3" s="1"/>
  <c r="AI33" i="3"/>
  <c r="AJ33" i="3" s="1"/>
  <c r="Y33" i="3"/>
  <c r="Z33" i="3" s="1"/>
  <c r="X33" i="3"/>
  <c r="W33" i="3"/>
  <c r="AC33" i="3" s="1"/>
  <c r="V33" i="3"/>
  <c r="BF32" i="3"/>
  <c r="BD32" i="3"/>
  <c r="AX32" i="3"/>
  <c r="AY32" i="3" s="1"/>
  <c r="AQ32" i="3"/>
  <c r="AR32" i="3" s="1"/>
  <c r="AI32" i="3"/>
  <c r="AJ32" i="3" s="1"/>
  <c r="Y32" i="3"/>
  <c r="Z32" i="3" s="1"/>
  <c r="X32" i="3"/>
  <c r="W32" i="3"/>
  <c r="AC32" i="3" s="1"/>
  <c r="V32" i="3"/>
  <c r="BF31" i="3"/>
  <c r="BD31" i="3"/>
  <c r="AX31" i="3"/>
  <c r="AY31" i="3" s="1"/>
  <c r="AQ31" i="3"/>
  <c r="AR31" i="3" s="1"/>
  <c r="AI31" i="3"/>
  <c r="AJ31" i="3" s="1"/>
  <c r="Y31" i="3"/>
  <c r="Z31" i="3" s="1"/>
  <c r="X31" i="3"/>
  <c r="W31" i="3"/>
  <c r="AC31" i="3" s="1"/>
  <c r="V31" i="3"/>
  <c r="BF30" i="3"/>
  <c r="BD30" i="3"/>
  <c r="AX30" i="3"/>
  <c r="AY30" i="3" s="1"/>
  <c r="AQ30" i="3"/>
  <c r="AR30" i="3" s="1"/>
  <c r="AI30" i="3"/>
  <c r="AJ30" i="3" s="1"/>
  <c r="Y30" i="3"/>
  <c r="Z30" i="3" s="1"/>
  <c r="X30" i="3"/>
  <c r="W30" i="3"/>
  <c r="AC30" i="3" s="1"/>
  <c r="V30" i="3"/>
  <c r="BF29" i="3"/>
  <c r="BD29" i="3"/>
  <c r="AX29" i="3"/>
  <c r="AY29" i="3" s="1"/>
  <c r="AQ29" i="3"/>
  <c r="AR29" i="3" s="1"/>
  <c r="AI29" i="3"/>
  <c r="AJ29" i="3" s="1"/>
  <c r="Y29" i="3"/>
  <c r="Z29" i="3" s="1"/>
  <c r="X29" i="3"/>
  <c r="W29" i="3"/>
  <c r="AC29" i="3" s="1"/>
  <c r="V29" i="3"/>
  <c r="BF28" i="3"/>
  <c r="BD28" i="3"/>
  <c r="AX28" i="3"/>
  <c r="AY28" i="3" s="1"/>
  <c r="AQ28" i="3"/>
  <c r="AR28" i="3" s="1"/>
  <c r="AI28" i="3"/>
  <c r="AJ28" i="3" s="1"/>
  <c r="Y28" i="3"/>
  <c r="Z28" i="3" s="1"/>
  <c r="X28" i="3"/>
  <c r="W28" i="3"/>
  <c r="AC28" i="3" s="1"/>
  <c r="V28" i="3"/>
  <c r="BF27" i="3"/>
  <c r="BD27" i="3"/>
  <c r="AX27" i="3"/>
  <c r="AY27" i="3" s="1"/>
  <c r="AQ27" i="3"/>
  <c r="AR27" i="3" s="1"/>
  <c r="AI27" i="3"/>
  <c r="AJ27" i="3" s="1"/>
  <c r="Y27" i="3"/>
  <c r="Z27" i="3" s="1"/>
  <c r="X27" i="3"/>
  <c r="W27" i="3"/>
  <c r="AC27" i="3" s="1"/>
  <c r="V27" i="3"/>
  <c r="BF26" i="3"/>
  <c r="BD26" i="3"/>
  <c r="AX26" i="3"/>
  <c r="AY26" i="3" s="1"/>
  <c r="AQ26" i="3"/>
  <c r="AR26" i="3" s="1"/>
  <c r="AI26" i="3"/>
  <c r="AJ26" i="3" s="1"/>
  <c r="Y26" i="3"/>
  <c r="Z26" i="3" s="1"/>
  <c r="X26" i="3"/>
  <c r="W26" i="3"/>
  <c r="AC26" i="3" s="1"/>
  <c r="V26" i="3"/>
  <c r="BF25" i="3"/>
  <c r="BD25" i="3"/>
  <c r="AX25" i="3"/>
  <c r="AY25" i="3" s="1"/>
  <c r="AQ25" i="3"/>
  <c r="AR25" i="3" s="1"/>
  <c r="AI25" i="3"/>
  <c r="AJ25" i="3" s="1"/>
  <c r="Y25" i="3"/>
  <c r="Z25" i="3" s="1"/>
  <c r="X25" i="3"/>
  <c r="W25" i="3"/>
  <c r="AC25" i="3" s="1"/>
  <c r="V25" i="3"/>
  <c r="BF24" i="3"/>
  <c r="BD24" i="3"/>
  <c r="AX24" i="3"/>
  <c r="AY24" i="3" s="1"/>
  <c r="AQ24" i="3"/>
  <c r="AR24" i="3" s="1"/>
  <c r="AI24" i="3"/>
  <c r="AJ24" i="3" s="1"/>
  <c r="Y24" i="3"/>
  <c r="Z24" i="3" s="1"/>
  <c r="X24" i="3"/>
  <c r="W24" i="3"/>
  <c r="AC24" i="3" s="1"/>
  <c r="V24" i="3"/>
  <c r="BF23" i="3"/>
  <c r="BD23" i="3"/>
  <c r="AX23" i="3"/>
  <c r="AY23" i="3" s="1"/>
  <c r="AQ23" i="3"/>
  <c r="AR23" i="3" s="1"/>
  <c r="AI23" i="3"/>
  <c r="AJ23" i="3" s="1"/>
  <c r="Y23" i="3"/>
  <c r="Z23" i="3" s="1"/>
  <c r="X23" i="3"/>
  <c r="W23" i="3"/>
  <c r="AC23" i="3" s="1"/>
  <c r="V23" i="3"/>
  <c r="BF22" i="3"/>
  <c r="BD22" i="3"/>
  <c r="AX22" i="3"/>
  <c r="AY22" i="3" s="1"/>
  <c r="AQ22" i="3"/>
  <c r="AR22" i="3" s="1"/>
  <c r="AI22" i="3"/>
  <c r="AJ22" i="3" s="1"/>
  <c r="Y22" i="3"/>
  <c r="Z22" i="3" s="1"/>
  <c r="X22" i="3"/>
  <c r="W22" i="3"/>
  <c r="AC22" i="3" s="1"/>
  <c r="V22" i="3"/>
  <c r="BF21" i="3"/>
  <c r="BD21" i="3"/>
  <c r="AX21" i="3"/>
  <c r="AY21" i="3" s="1"/>
  <c r="AQ21" i="3"/>
  <c r="AR21" i="3" s="1"/>
  <c r="AI21" i="3"/>
  <c r="AJ21" i="3" s="1"/>
  <c r="Y21" i="3"/>
  <c r="Z21" i="3" s="1"/>
  <c r="X21" i="3"/>
  <c r="W21" i="3"/>
  <c r="AC21" i="3" s="1"/>
  <c r="V21" i="3"/>
  <c r="BF20" i="3"/>
  <c r="BD20" i="3"/>
  <c r="AX20" i="3"/>
  <c r="AY20" i="3" s="1"/>
  <c r="AQ20" i="3"/>
  <c r="AR20" i="3" s="1"/>
  <c r="AI20" i="3"/>
  <c r="AJ20" i="3" s="1"/>
  <c r="Y20" i="3"/>
  <c r="Z20" i="3" s="1"/>
  <c r="X20" i="3"/>
  <c r="W20" i="3"/>
  <c r="AC20" i="3" s="1"/>
  <c r="V20" i="3"/>
  <c r="BF19" i="3"/>
  <c r="BD19" i="3"/>
  <c r="AX19" i="3"/>
  <c r="AY19" i="3" s="1"/>
  <c r="AQ19" i="3"/>
  <c r="AR19" i="3" s="1"/>
  <c r="AI19" i="3"/>
  <c r="AJ19" i="3" s="1"/>
  <c r="Y19" i="3"/>
  <c r="Z19" i="3" s="1"/>
  <c r="X19" i="3"/>
  <c r="W19" i="3"/>
  <c r="AC19" i="3" s="1"/>
  <c r="V19" i="3"/>
  <c r="BF18" i="3"/>
  <c r="BD18" i="3"/>
  <c r="AX18" i="3"/>
  <c r="AY18" i="3" s="1"/>
  <c r="AQ18" i="3"/>
  <c r="AR18" i="3" s="1"/>
  <c r="AI18" i="3"/>
  <c r="AJ18" i="3" s="1"/>
  <c r="Y18" i="3"/>
  <c r="Z18" i="3" s="1"/>
  <c r="X18" i="3"/>
  <c r="W18" i="3"/>
  <c r="AC18" i="3" s="1"/>
  <c r="V18" i="3"/>
  <c r="BF17" i="3"/>
  <c r="BD17" i="3"/>
  <c r="AX17" i="3"/>
  <c r="AY17" i="3" s="1"/>
  <c r="AQ17" i="3"/>
  <c r="AR17" i="3" s="1"/>
  <c r="AI17" i="3"/>
  <c r="AJ17" i="3" s="1"/>
  <c r="Y17" i="3"/>
  <c r="Z17" i="3" s="1"/>
  <c r="X17" i="3"/>
  <c r="W17" i="3"/>
  <c r="AC17" i="3" s="1"/>
  <c r="V17" i="3"/>
  <c r="BF16" i="3"/>
  <c r="BD16" i="3"/>
  <c r="AX16" i="3"/>
  <c r="AY16" i="3" s="1"/>
  <c r="AQ16" i="3"/>
  <c r="AR16" i="3" s="1"/>
  <c r="AI16" i="3"/>
  <c r="AJ16" i="3" s="1"/>
  <c r="Y16" i="3"/>
  <c r="Z16" i="3" s="1"/>
  <c r="X16" i="3"/>
  <c r="W16" i="3"/>
  <c r="AC16" i="3" s="1"/>
  <c r="V16" i="3"/>
  <c r="BF15" i="3"/>
  <c r="BD15" i="3"/>
  <c r="AX15" i="3"/>
  <c r="AY15" i="3" s="1"/>
  <c r="AQ15" i="3"/>
  <c r="AI15" i="3"/>
  <c r="AJ15" i="3" s="1"/>
  <c r="Y15" i="3"/>
  <c r="Z15" i="3" s="1"/>
  <c r="X15" i="3"/>
  <c r="W15" i="3"/>
  <c r="V15" i="3"/>
  <c r="H10" i="3"/>
  <c r="A7" i="3"/>
  <c r="A6" i="3"/>
  <c r="BC52" i="2"/>
  <c r="AW52" i="2"/>
  <c r="AX52" i="2" s="1"/>
  <c r="AP52" i="2"/>
  <c r="AQ52" i="2" s="1"/>
  <c r="AI52" i="2"/>
  <c r="AJ52" i="2" s="1"/>
  <c r="Y52" i="2"/>
  <c r="Z52" i="2" s="1"/>
  <c r="X52" i="2"/>
  <c r="W52" i="2"/>
  <c r="AC52" i="2" s="1"/>
  <c r="V52" i="2"/>
  <c r="BC51" i="2"/>
  <c r="AW51" i="2"/>
  <c r="AX51" i="2" s="1"/>
  <c r="AP51" i="2"/>
  <c r="AQ51" i="2" s="1"/>
  <c r="AI51" i="2"/>
  <c r="AJ51" i="2" s="1"/>
  <c r="Y51" i="2"/>
  <c r="Z51" i="2" s="1"/>
  <c r="X51" i="2"/>
  <c r="W51" i="2"/>
  <c r="AC51" i="2" s="1"/>
  <c r="V51" i="2"/>
  <c r="BC50" i="2"/>
  <c r="AW50" i="2"/>
  <c r="AX50" i="2" s="1"/>
  <c r="AP50" i="2"/>
  <c r="AQ50" i="2" s="1"/>
  <c r="AI50" i="2"/>
  <c r="AJ50" i="2" s="1"/>
  <c r="Y50" i="2"/>
  <c r="Z50" i="2" s="1"/>
  <c r="X50" i="2"/>
  <c r="W50" i="2"/>
  <c r="AC50" i="2" s="1"/>
  <c r="V50" i="2"/>
  <c r="BC49" i="2"/>
  <c r="AW49" i="2"/>
  <c r="AX49" i="2" s="1"/>
  <c r="AP49" i="2"/>
  <c r="AQ49" i="2" s="1"/>
  <c r="AI49" i="2"/>
  <c r="AJ49" i="2" s="1"/>
  <c r="Y49" i="2"/>
  <c r="Z49" i="2" s="1"/>
  <c r="X49" i="2"/>
  <c r="W49" i="2"/>
  <c r="AC49" i="2" s="1"/>
  <c r="V49" i="2"/>
  <c r="BC48" i="2"/>
  <c r="AW48" i="2"/>
  <c r="AX48" i="2" s="1"/>
  <c r="AP48" i="2"/>
  <c r="AQ48" i="2" s="1"/>
  <c r="AI48" i="2"/>
  <c r="AJ48" i="2" s="1"/>
  <c r="Y48" i="2"/>
  <c r="Z48" i="2" s="1"/>
  <c r="X48" i="2"/>
  <c r="W48" i="2"/>
  <c r="AC48" i="2" s="1"/>
  <c r="V48" i="2"/>
  <c r="BC47" i="2"/>
  <c r="AW47" i="2"/>
  <c r="AX47" i="2" s="1"/>
  <c r="AP47" i="2"/>
  <c r="AQ47" i="2" s="1"/>
  <c r="AI47" i="2"/>
  <c r="AJ47" i="2" s="1"/>
  <c r="Y47" i="2"/>
  <c r="Z47" i="2" s="1"/>
  <c r="X47" i="2"/>
  <c r="W47" i="2"/>
  <c r="AC47" i="2" s="1"/>
  <c r="V47" i="2"/>
  <c r="BC46" i="2"/>
  <c r="AW46" i="2"/>
  <c r="AX46" i="2" s="1"/>
  <c r="AP46" i="2"/>
  <c r="AQ46" i="2" s="1"/>
  <c r="AI46" i="2"/>
  <c r="AJ46" i="2" s="1"/>
  <c r="Y46" i="2"/>
  <c r="Z46" i="2" s="1"/>
  <c r="X46" i="2"/>
  <c r="W46" i="2"/>
  <c r="AC46" i="2" s="1"/>
  <c r="V46" i="2"/>
  <c r="BC45" i="2"/>
  <c r="AW45" i="2"/>
  <c r="AX45" i="2" s="1"/>
  <c r="AP45" i="2"/>
  <c r="AQ45" i="2" s="1"/>
  <c r="AI45" i="2"/>
  <c r="AJ45" i="2" s="1"/>
  <c r="Y45" i="2"/>
  <c r="Z45" i="2" s="1"/>
  <c r="X45" i="2"/>
  <c r="W45" i="2"/>
  <c r="AC45" i="2" s="1"/>
  <c r="V45" i="2"/>
  <c r="BC44" i="2"/>
  <c r="AW44" i="2"/>
  <c r="AX44" i="2" s="1"/>
  <c r="AP44" i="2"/>
  <c r="AQ44" i="2" s="1"/>
  <c r="AI44" i="2"/>
  <c r="AJ44" i="2" s="1"/>
  <c r="Y44" i="2"/>
  <c r="Z44" i="2" s="1"/>
  <c r="X44" i="2"/>
  <c r="W44" i="2"/>
  <c r="AC44" i="2" s="1"/>
  <c r="V44" i="2"/>
  <c r="BC43" i="2"/>
  <c r="AW43" i="2"/>
  <c r="AX43" i="2" s="1"/>
  <c r="AP43" i="2"/>
  <c r="AQ43" i="2" s="1"/>
  <c r="AI43" i="2"/>
  <c r="AJ43" i="2" s="1"/>
  <c r="Y43" i="2"/>
  <c r="Z43" i="2" s="1"/>
  <c r="X43" i="2"/>
  <c r="W43" i="2"/>
  <c r="AC43" i="2" s="1"/>
  <c r="V43" i="2"/>
  <c r="BC42" i="2"/>
  <c r="AW42" i="2"/>
  <c r="AX42" i="2" s="1"/>
  <c r="AP42" i="2"/>
  <c r="AQ42" i="2" s="1"/>
  <c r="AI42" i="2"/>
  <c r="AJ42" i="2" s="1"/>
  <c r="Y42" i="2"/>
  <c r="Z42" i="2" s="1"/>
  <c r="X42" i="2"/>
  <c r="W42" i="2"/>
  <c r="AC42" i="2" s="1"/>
  <c r="V42" i="2"/>
  <c r="BC41" i="2"/>
  <c r="AW41" i="2"/>
  <c r="AX41" i="2" s="1"/>
  <c r="AP41" i="2"/>
  <c r="AQ41" i="2" s="1"/>
  <c r="AI41" i="2"/>
  <c r="AJ41" i="2" s="1"/>
  <c r="Y41" i="2"/>
  <c r="Z41" i="2" s="1"/>
  <c r="X41" i="2"/>
  <c r="W41" i="2"/>
  <c r="AC41" i="2" s="1"/>
  <c r="V41" i="2"/>
  <c r="BC40" i="2"/>
  <c r="AW40" i="2"/>
  <c r="AX40" i="2" s="1"/>
  <c r="AP40" i="2"/>
  <c r="AQ40" i="2" s="1"/>
  <c r="AI40" i="2"/>
  <c r="AJ40" i="2" s="1"/>
  <c r="Y40" i="2"/>
  <c r="Z40" i="2" s="1"/>
  <c r="X40" i="2"/>
  <c r="W40" i="2"/>
  <c r="AC40" i="2" s="1"/>
  <c r="V40" i="2"/>
  <c r="BC39" i="2"/>
  <c r="AW39" i="2"/>
  <c r="AX39" i="2" s="1"/>
  <c r="AP39" i="2"/>
  <c r="AQ39" i="2" s="1"/>
  <c r="AI39" i="2"/>
  <c r="AJ39" i="2" s="1"/>
  <c r="Y39" i="2"/>
  <c r="Z39" i="2" s="1"/>
  <c r="X39" i="2"/>
  <c r="W39" i="2"/>
  <c r="AC39" i="2" s="1"/>
  <c r="V39" i="2"/>
  <c r="BC38" i="2"/>
  <c r="AW38" i="2"/>
  <c r="AX38" i="2" s="1"/>
  <c r="AP38" i="2"/>
  <c r="AQ38" i="2" s="1"/>
  <c r="AI38" i="2"/>
  <c r="AJ38" i="2" s="1"/>
  <c r="Y38" i="2"/>
  <c r="Z38" i="2" s="1"/>
  <c r="X38" i="2"/>
  <c r="W38" i="2"/>
  <c r="AC38" i="2" s="1"/>
  <c r="V38" i="2"/>
  <c r="BC37" i="2"/>
  <c r="AW37" i="2"/>
  <c r="AX37" i="2" s="1"/>
  <c r="AP37" i="2"/>
  <c r="AQ37" i="2" s="1"/>
  <c r="AI37" i="2"/>
  <c r="AJ37" i="2" s="1"/>
  <c r="Y37" i="2"/>
  <c r="Z37" i="2" s="1"/>
  <c r="X37" i="2"/>
  <c r="W37" i="2"/>
  <c r="AC37" i="2" s="1"/>
  <c r="V37" i="2"/>
  <c r="BC36" i="2"/>
  <c r="AW36" i="2"/>
  <c r="AX36" i="2" s="1"/>
  <c r="AP36" i="2"/>
  <c r="AQ36" i="2" s="1"/>
  <c r="AI36" i="2"/>
  <c r="AJ36" i="2" s="1"/>
  <c r="Y36" i="2"/>
  <c r="Z36" i="2" s="1"/>
  <c r="X36" i="2"/>
  <c r="W36" i="2"/>
  <c r="AC36" i="2" s="1"/>
  <c r="V36" i="2"/>
  <c r="BC35" i="2"/>
  <c r="AW35" i="2"/>
  <c r="AX35" i="2" s="1"/>
  <c r="AP35" i="2"/>
  <c r="AQ35" i="2" s="1"/>
  <c r="AI35" i="2"/>
  <c r="AJ35" i="2" s="1"/>
  <c r="Y35" i="2"/>
  <c r="Z35" i="2" s="1"/>
  <c r="X35" i="2"/>
  <c r="W35" i="2"/>
  <c r="AC35" i="2" s="1"/>
  <c r="V35" i="2"/>
  <c r="BC34" i="2"/>
  <c r="AW34" i="2"/>
  <c r="AX34" i="2" s="1"/>
  <c r="AP34" i="2"/>
  <c r="AQ34" i="2" s="1"/>
  <c r="AI34" i="2"/>
  <c r="AJ34" i="2" s="1"/>
  <c r="Y34" i="2"/>
  <c r="Z34" i="2" s="1"/>
  <c r="X34" i="2"/>
  <c r="W34" i="2"/>
  <c r="AC34" i="2" s="1"/>
  <c r="V34" i="2"/>
  <c r="BC33" i="2"/>
  <c r="AW33" i="2"/>
  <c r="AX33" i="2" s="1"/>
  <c r="AP33" i="2"/>
  <c r="AQ33" i="2" s="1"/>
  <c r="AI33" i="2"/>
  <c r="AJ33" i="2" s="1"/>
  <c r="Y33" i="2"/>
  <c r="Z33" i="2" s="1"/>
  <c r="X33" i="2"/>
  <c r="W33" i="2"/>
  <c r="AC33" i="2" s="1"/>
  <c r="V33" i="2"/>
  <c r="BC32" i="2"/>
  <c r="AW32" i="2"/>
  <c r="AX32" i="2" s="1"/>
  <c r="AP32" i="2"/>
  <c r="AQ32" i="2" s="1"/>
  <c r="AI32" i="2"/>
  <c r="AJ32" i="2" s="1"/>
  <c r="Y32" i="2"/>
  <c r="Z32" i="2" s="1"/>
  <c r="X32" i="2"/>
  <c r="W32" i="2"/>
  <c r="AC32" i="2" s="1"/>
  <c r="V32" i="2"/>
  <c r="BC31" i="2"/>
  <c r="AW31" i="2"/>
  <c r="AX31" i="2" s="1"/>
  <c r="AP31" i="2"/>
  <c r="AQ31" i="2" s="1"/>
  <c r="AI31" i="2"/>
  <c r="AJ31" i="2" s="1"/>
  <c r="Y31" i="2"/>
  <c r="Z31" i="2" s="1"/>
  <c r="X31" i="2"/>
  <c r="W31" i="2"/>
  <c r="AC31" i="2" s="1"/>
  <c r="V31" i="2"/>
  <c r="BC30" i="2"/>
  <c r="AW30" i="2"/>
  <c r="AX30" i="2" s="1"/>
  <c r="AP30" i="2"/>
  <c r="AQ30" i="2" s="1"/>
  <c r="AI30" i="2"/>
  <c r="AJ30" i="2" s="1"/>
  <c r="Y30" i="2"/>
  <c r="Z30" i="2" s="1"/>
  <c r="X30" i="2"/>
  <c r="W30" i="2"/>
  <c r="AC30" i="2" s="1"/>
  <c r="V30" i="2"/>
  <c r="BC29" i="2"/>
  <c r="AW29" i="2"/>
  <c r="AX29" i="2" s="1"/>
  <c r="AP29" i="2"/>
  <c r="AQ29" i="2" s="1"/>
  <c r="AI29" i="2"/>
  <c r="AJ29" i="2" s="1"/>
  <c r="Y29" i="2"/>
  <c r="Z29" i="2" s="1"/>
  <c r="X29" i="2"/>
  <c r="W29" i="2"/>
  <c r="AC29" i="2" s="1"/>
  <c r="V29" i="2"/>
  <c r="BC28" i="2"/>
  <c r="AW28" i="2"/>
  <c r="AX28" i="2" s="1"/>
  <c r="AP28" i="2"/>
  <c r="AQ28" i="2" s="1"/>
  <c r="AI28" i="2"/>
  <c r="AJ28" i="2" s="1"/>
  <c r="Y28" i="2"/>
  <c r="Z28" i="2" s="1"/>
  <c r="X28" i="2"/>
  <c r="W28" i="2"/>
  <c r="AC28" i="2" s="1"/>
  <c r="V28" i="2"/>
  <c r="BC27" i="2"/>
  <c r="AW27" i="2"/>
  <c r="AX27" i="2" s="1"/>
  <c r="AP27" i="2"/>
  <c r="AQ27" i="2" s="1"/>
  <c r="AI27" i="2"/>
  <c r="AJ27" i="2" s="1"/>
  <c r="Y27" i="2"/>
  <c r="Z27" i="2" s="1"/>
  <c r="X27" i="2"/>
  <c r="W27" i="2"/>
  <c r="AC27" i="2" s="1"/>
  <c r="V27" i="2"/>
  <c r="BC26" i="2"/>
  <c r="AW26" i="2"/>
  <c r="AX26" i="2" s="1"/>
  <c r="AP26" i="2"/>
  <c r="AQ26" i="2" s="1"/>
  <c r="AI26" i="2"/>
  <c r="AJ26" i="2" s="1"/>
  <c r="Y26" i="2"/>
  <c r="Z26" i="2" s="1"/>
  <c r="X26" i="2"/>
  <c r="W26" i="2"/>
  <c r="AC26" i="2" s="1"/>
  <c r="V26" i="2"/>
  <c r="BC25" i="2"/>
  <c r="AW25" i="2"/>
  <c r="AX25" i="2" s="1"/>
  <c r="AP25" i="2"/>
  <c r="AQ25" i="2" s="1"/>
  <c r="AI25" i="2"/>
  <c r="AJ25" i="2" s="1"/>
  <c r="Y25" i="2"/>
  <c r="Z25" i="2" s="1"/>
  <c r="X25" i="2"/>
  <c r="W25" i="2"/>
  <c r="AC25" i="2" s="1"/>
  <c r="V25" i="2"/>
  <c r="BC24" i="2"/>
  <c r="AW24" i="2"/>
  <c r="AX24" i="2" s="1"/>
  <c r="AP24" i="2"/>
  <c r="AQ24" i="2" s="1"/>
  <c r="AI24" i="2"/>
  <c r="AJ24" i="2" s="1"/>
  <c r="Y24" i="2"/>
  <c r="Z24" i="2" s="1"/>
  <c r="X24" i="2"/>
  <c r="W24" i="2"/>
  <c r="AC24" i="2" s="1"/>
  <c r="V24" i="2"/>
  <c r="BC23" i="2"/>
  <c r="AW23" i="2"/>
  <c r="AX23" i="2" s="1"/>
  <c r="AP23" i="2"/>
  <c r="AQ23" i="2" s="1"/>
  <c r="AI23" i="2"/>
  <c r="AJ23" i="2" s="1"/>
  <c r="Y23" i="2"/>
  <c r="Z23" i="2" s="1"/>
  <c r="X23" i="2"/>
  <c r="W23" i="2"/>
  <c r="AC23" i="2" s="1"/>
  <c r="V23" i="2"/>
  <c r="BC22" i="2"/>
  <c r="AW22" i="2"/>
  <c r="AX22" i="2" s="1"/>
  <c r="AP22" i="2"/>
  <c r="AQ22" i="2" s="1"/>
  <c r="AI22" i="2"/>
  <c r="AJ22" i="2" s="1"/>
  <c r="Y22" i="2"/>
  <c r="Z22" i="2" s="1"/>
  <c r="X22" i="2"/>
  <c r="W22" i="2"/>
  <c r="AC22" i="2" s="1"/>
  <c r="V22" i="2"/>
  <c r="BC21" i="2"/>
  <c r="AW21" i="2"/>
  <c r="AX21" i="2" s="1"/>
  <c r="AP21" i="2"/>
  <c r="AQ21" i="2" s="1"/>
  <c r="AI21" i="2"/>
  <c r="AJ21" i="2" s="1"/>
  <c r="Y21" i="2"/>
  <c r="Z21" i="2" s="1"/>
  <c r="X21" i="2"/>
  <c r="W21" i="2"/>
  <c r="AC21" i="2" s="1"/>
  <c r="V21" i="2"/>
  <c r="BC20" i="2"/>
  <c r="AW20" i="2"/>
  <c r="AX20" i="2" s="1"/>
  <c r="AP20" i="2"/>
  <c r="AQ20" i="2" s="1"/>
  <c r="AI20" i="2"/>
  <c r="AJ20" i="2" s="1"/>
  <c r="Y20" i="2"/>
  <c r="Z20" i="2" s="1"/>
  <c r="X20" i="2"/>
  <c r="W20" i="2"/>
  <c r="AC20" i="2" s="1"/>
  <c r="V20" i="2"/>
  <c r="BC19" i="2"/>
  <c r="AW19" i="2"/>
  <c r="AX19" i="2" s="1"/>
  <c r="AP19" i="2"/>
  <c r="AQ19" i="2" s="1"/>
  <c r="AI19" i="2"/>
  <c r="AJ19" i="2" s="1"/>
  <c r="Y19" i="2"/>
  <c r="Z19" i="2" s="1"/>
  <c r="X19" i="2"/>
  <c r="W19" i="2"/>
  <c r="AC19" i="2" s="1"/>
  <c r="V19" i="2"/>
  <c r="BC18" i="2"/>
  <c r="AW18" i="2"/>
  <c r="AX18" i="2" s="1"/>
  <c r="AP18" i="2"/>
  <c r="AQ18" i="2" s="1"/>
  <c r="AI18" i="2"/>
  <c r="AJ18" i="2" s="1"/>
  <c r="Y18" i="2"/>
  <c r="Z18" i="2" s="1"/>
  <c r="X18" i="2"/>
  <c r="W18" i="2"/>
  <c r="AC18" i="2" s="1"/>
  <c r="V18" i="2"/>
  <c r="BC17" i="2"/>
  <c r="AW17" i="2"/>
  <c r="AX17" i="2" s="1"/>
  <c r="AP17" i="2"/>
  <c r="AQ17" i="2" s="1"/>
  <c r="AI17" i="2"/>
  <c r="AJ17" i="2" s="1"/>
  <c r="Y17" i="2"/>
  <c r="Z17" i="2" s="1"/>
  <c r="X17" i="2"/>
  <c r="W17" i="2"/>
  <c r="AC17" i="2" s="1"/>
  <c r="V17" i="2"/>
  <c r="BC16" i="2"/>
  <c r="AW16" i="2"/>
  <c r="AX16" i="2" s="1"/>
  <c r="AP16" i="2"/>
  <c r="AQ16" i="2" s="1"/>
  <c r="AI16" i="2"/>
  <c r="AJ16" i="2" s="1"/>
  <c r="Y16" i="2"/>
  <c r="Z16" i="2" s="1"/>
  <c r="X16" i="2"/>
  <c r="W16" i="2"/>
  <c r="AC16" i="2" s="1"/>
  <c r="V16" i="2"/>
  <c r="BC15" i="2"/>
  <c r="AW15" i="2"/>
  <c r="AX15" i="2" s="1"/>
  <c r="AI15" i="2"/>
  <c r="AJ15" i="2" s="1"/>
  <c r="Y15" i="2"/>
  <c r="Z15" i="2" s="1"/>
  <c r="X15" i="2"/>
  <c r="W15" i="2"/>
  <c r="V15" i="2"/>
  <c r="H10" i="2"/>
  <c r="A7" i="2"/>
  <c r="A6" i="2"/>
  <c r="AM51" i="1"/>
  <c r="AK51" i="1"/>
  <c r="AI51" i="1"/>
  <c r="AE51" i="1"/>
  <c r="Y51" i="1"/>
  <c r="Z51" i="1" s="1"/>
  <c r="X51" i="1"/>
  <c r="W51" i="1"/>
  <c r="AC51" i="1" s="1"/>
  <c r="V51" i="1"/>
  <c r="AM50" i="1"/>
  <c r="AK50" i="1"/>
  <c r="AI50" i="1"/>
  <c r="AE50" i="1"/>
  <c r="Y50" i="1"/>
  <c r="Z50" i="1" s="1"/>
  <c r="X50" i="1"/>
  <c r="W50" i="1"/>
  <c r="AC50" i="1" s="1"/>
  <c r="V50" i="1"/>
  <c r="AM49" i="1"/>
  <c r="AK49" i="1"/>
  <c r="AI49" i="1"/>
  <c r="AE49" i="1"/>
  <c r="Y49" i="1"/>
  <c r="Z49" i="1" s="1"/>
  <c r="X49" i="1"/>
  <c r="W49" i="1"/>
  <c r="AC49" i="1" s="1"/>
  <c r="V49" i="1"/>
  <c r="AM48" i="1"/>
  <c r="AK48" i="1"/>
  <c r="AI48" i="1"/>
  <c r="AE48" i="1"/>
  <c r="Y48" i="1"/>
  <c r="Z48" i="1" s="1"/>
  <c r="X48" i="1"/>
  <c r="W48" i="1"/>
  <c r="AC48" i="1" s="1"/>
  <c r="V48" i="1"/>
  <c r="AM47" i="1"/>
  <c r="AK47" i="1"/>
  <c r="AI47" i="1"/>
  <c r="AE47" i="1"/>
  <c r="Y47" i="1"/>
  <c r="Z47" i="1" s="1"/>
  <c r="X47" i="1"/>
  <c r="W47" i="1"/>
  <c r="AC47" i="1" s="1"/>
  <c r="V47" i="1"/>
  <c r="AM46" i="1"/>
  <c r="AK46" i="1"/>
  <c r="AI46" i="1"/>
  <c r="AE46" i="1"/>
  <c r="Y46" i="1"/>
  <c r="Z46" i="1" s="1"/>
  <c r="X46" i="1"/>
  <c r="W46" i="1"/>
  <c r="AC46" i="1" s="1"/>
  <c r="V46" i="1"/>
  <c r="AM45" i="1"/>
  <c r="AK45" i="1"/>
  <c r="AI45" i="1"/>
  <c r="AE45" i="1"/>
  <c r="Y45" i="1"/>
  <c r="Z45" i="1" s="1"/>
  <c r="X45" i="1"/>
  <c r="W45" i="1"/>
  <c r="AC45" i="1" s="1"/>
  <c r="V45" i="1"/>
  <c r="AM44" i="1"/>
  <c r="AK44" i="1"/>
  <c r="AI44" i="1"/>
  <c r="AE44" i="1"/>
  <c r="Y44" i="1"/>
  <c r="Z44" i="1" s="1"/>
  <c r="X44" i="1"/>
  <c r="W44" i="1"/>
  <c r="AC44" i="1" s="1"/>
  <c r="V44" i="1"/>
  <c r="AM43" i="1"/>
  <c r="AK43" i="1"/>
  <c r="AI43" i="1"/>
  <c r="AE43" i="1"/>
  <c r="Y43" i="1"/>
  <c r="Z43" i="1" s="1"/>
  <c r="X43" i="1"/>
  <c r="W43" i="1"/>
  <c r="AC43" i="1" s="1"/>
  <c r="V43" i="1"/>
  <c r="AM42" i="1"/>
  <c r="AK42" i="1"/>
  <c r="AI42" i="1"/>
  <c r="AE42" i="1"/>
  <c r="Y42" i="1"/>
  <c r="Z42" i="1" s="1"/>
  <c r="X42" i="1"/>
  <c r="W42" i="1"/>
  <c r="AC42" i="1" s="1"/>
  <c r="V42" i="1"/>
  <c r="AM41" i="1"/>
  <c r="AK41" i="1"/>
  <c r="AI41" i="1"/>
  <c r="AE41" i="1"/>
  <c r="Y41" i="1"/>
  <c r="Z41" i="1" s="1"/>
  <c r="X41" i="1"/>
  <c r="W41" i="1"/>
  <c r="AC41" i="1" s="1"/>
  <c r="V41" i="1"/>
  <c r="AM40" i="1"/>
  <c r="AK40" i="1"/>
  <c r="AI40" i="1"/>
  <c r="AE40" i="1"/>
  <c r="Y40" i="1"/>
  <c r="Z40" i="1" s="1"/>
  <c r="X40" i="1"/>
  <c r="W40" i="1"/>
  <c r="AC40" i="1" s="1"/>
  <c r="V40" i="1"/>
  <c r="AM39" i="1"/>
  <c r="AK39" i="1"/>
  <c r="AI39" i="1"/>
  <c r="AE39" i="1"/>
  <c r="Y39" i="1"/>
  <c r="Z39" i="1" s="1"/>
  <c r="X39" i="1"/>
  <c r="W39" i="1"/>
  <c r="AC39" i="1" s="1"/>
  <c r="V39" i="1"/>
  <c r="AM38" i="1"/>
  <c r="AK38" i="1"/>
  <c r="AI38" i="1"/>
  <c r="AE38" i="1"/>
  <c r="Y38" i="1"/>
  <c r="Z38" i="1" s="1"/>
  <c r="X38" i="1"/>
  <c r="W38" i="1"/>
  <c r="AC38" i="1" s="1"/>
  <c r="V38" i="1"/>
  <c r="AM37" i="1"/>
  <c r="AK37" i="1"/>
  <c r="AI37" i="1"/>
  <c r="AE37" i="1"/>
  <c r="Y37" i="1"/>
  <c r="Z37" i="1" s="1"/>
  <c r="X37" i="1"/>
  <c r="W37" i="1"/>
  <c r="AC37" i="1" s="1"/>
  <c r="V37" i="1"/>
  <c r="AM36" i="1"/>
  <c r="AK36" i="1"/>
  <c r="AI36" i="1"/>
  <c r="AE36" i="1"/>
  <c r="Y36" i="1"/>
  <c r="Z36" i="1" s="1"/>
  <c r="X36" i="1"/>
  <c r="W36" i="1"/>
  <c r="AC36" i="1" s="1"/>
  <c r="V36" i="1"/>
  <c r="AM35" i="1"/>
  <c r="AK35" i="1"/>
  <c r="AI35" i="1"/>
  <c r="AE35" i="1"/>
  <c r="Y35" i="1"/>
  <c r="Z35" i="1" s="1"/>
  <c r="X35" i="1"/>
  <c r="W35" i="1"/>
  <c r="AC35" i="1" s="1"/>
  <c r="V35" i="1"/>
  <c r="AM34" i="1"/>
  <c r="AK34" i="1"/>
  <c r="AI34" i="1"/>
  <c r="AE34" i="1"/>
  <c r="Y34" i="1"/>
  <c r="Z34" i="1" s="1"/>
  <c r="X34" i="1"/>
  <c r="W34" i="1"/>
  <c r="AC34" i="1" s="1"/>
  <c r="V34" i="1"/>
  <c r="AM33" i="1"/>
  <c r="AK33" i="1"/>
  <c r="AI33" i="1"/>
  <c r="AE33" i="1"/>
  <c r="Y33" i="1"/>
  <c r="Z33" i="1" s="1"/>
  <c r="X33" i="1"/>
  <c r="W33" i="1"/>
  <c r="AC33" i="1" s="1"/>
  <c r="V33" i="1"/>
  <c r="AM32" i="1"/>
  <c r="AK32" i="1"/>
  <c r="AI32" i="1"/>
  <c r="AE32" i="1"/>
  <c r="Y32" i="1"/>
  <c r="Z32" i="1" s="1"/>
  <c r="X32" i="1"/>
  <c r="W32" i="1"/>
  <c r="AC32" i="1" s="1"/>
  <c r="V32" i="1"/>
  <c r="AM31" i="1"/>
  <c r="AK31" i="1"/>
  <c r="AI31" i="1"/>
  <c r="AE31" i="1"/>
  <c r="Y31" i="1"/>
  <c r="Z31" i="1" s="1"/>
  <c r="X31" i="1"/>
  <c r="W31" i="1"/>
  <c r="AC31" i="1" s="1"/>
  <c r="V31" i="1"/>
  <c r="AM30" i="1"/>
  <c r="AK30" i="1"/>
  <c r="AI30" i="1"/>
  <c r="AE30" i="1"/>
  <c r="Y30" i="1"/>
  <c r="Z30" i="1" s="1"/>
  <c r="X30" i="1"/>
  <c r="W30" i="1"/>
  <c r="AC30" i="1" s="1"/>
  <c r="V30" i="1"/>
  <c r="AM29" i="1"/>
  <c r="AK29" i="1"/>
  <c r="AI29" i="1"/>
  <c r="AE29" i="1"/>
  <c r="Y29" i="1"/>
  <c r="Z29" i="1" s="1"/>
  <c r="X29" i="1"/>
  <c r="W29" i="1"/>
  <c r="AC29" i="1" s="1"/>
  <c r="V29" i="1"/>
  <c r="AM28" i="1"/>
  <c r="AK28" i="1"/>
  <c r="AI28" i="1"/>
  <c r="AE28" i="1"/>
  <c r="Y28" i="1"/>
  <c r="Z28" i="1" s="1"/>
  <c r="X28" i="1"/>
  <c r="W28" i="1"/>
  <c r="AC28" i="1" s="1"/>
  <c r="V28" i="1"/>
  <c r="AM27" i="1"/>
  <c r="AK27" i="1"/>
  <c r="AI27" i="1"/>
  <c r="AE27" i="1"/>
  <c r="Y27" i="1"/>
  <c r="Z27" i="1" s="1"/>
  <c r="X27" i="1"/>
  <c r="W27" i="1"/>
  <c r="AC27" i="1" s="1"/>
  <c r="V27" i="1"/>
  <c r="AM26" i="1"/>
  <c r="AK26" i="1"/>
  <c r="AI26" i="1"/>
  <c r="AE26" i="1"/>
  <c r="Y26" i="1"/>
  <c r="Z26" i="1" s="1"/>
  <c r="X26" i="1"/>
  <c r="W26" i="1"/>
  <c r="AC26" i="1" s="1"/>
  <c r="V26" i="1"/>
  <c r="AM25" i="1"/>
  <c r="AK25" i="1"/>
  <c r="AI25" i="1"/>
  <c r="AE25" i="1"/>
  <c r="Y25" i="1"/>
  <c r="Z25" i="1" s="1"/>
  <c r="X25" i="1"/>
  <c r="W25" i="1"/>
  <c r="AC25" i="1" s="1"/>
  <c r="V25" i="1"/>
  <c r="AM24" i="1"/>
  <c r="AK24" i="1"/>
  <c r="AI24" i="1"/>
  <c r="AE24" i="1"/>
  <c r="Y24" i="1"/>
  <c r="Z24" i="1" s="1"/>
  <c r="X24" i="1"/>
  <c r="W24" i="1"/>
  <c r="AC24" i="1" s="1"/>
  <c r="V24" i="1"/>
  <c r="AM23" i="1"/>
  <c r="AK23" i="1"/>
  <c r="AI23" i="1"/>
  <c r="AE23" i="1"/>
  <c r="Y23" i="1"/>
  <c r="Z23" i="1" s="1"/>
  <c r="X23" i="1"/>
  <c r="W23" i="1"/>
  <c r="AC23" i="1" s="1"/>
  <c r="V23" i="1"/>
  <c r="AM22" i="1"/>
  <c r="AK22" i="1"/>
  <c r="AI22" i="1"/>
  <c r="AE22" i="1"/>
  <c r="Y22" i="1"/>
  <c r="Z22" i="1" s="1"/>
  <c r="X22" i="1"/>
  <c r="W22" i="1"/>
  <c r="AC22" i="1" s="1"/>
  <c r="V22" i="1"/>
  <c r="AM21" i="1"/>
  <c r="AK21" i="1"/>
  <c r="AI21" i="1"/>
  <c r="AE21" i="1"/>
  <c r="Y21" i="1"/>
  <c r="Z21" i="1" s="1"/>
  <c r="X21" i="1"/>
  <c r="W21" i="1"/>
  <c r="AC21" i="1" s="1"/>
  <c r="V21" i="1"/>
  <c r="AM20" i="1"/>
  <c r="AK20" i="1"/>
  <c r="AI20" i="1"/>
  <c r="AE20" i="1"/>
  <c r="Y20" i="1"/>
  <c r="Z20" i="1" s="1"/>
  <c r="X20" i="1"/>
  <c r="W20" i="1"/>
  <c r="AC20" i="1" s="1"/>
  <c r="V20" i="1"/>
  <c r="AM19" i="1"/>
  <c r="AK19" i="1"/>
  <c r="AI19" i="1"/>
  <c r="AE19" i="1"/>
  <c r="Y19" i="1"/>
  <c r="Z19" i="1" s="1"/>
  <c r="X19" i="1"/>
  <c r="W19" i="1"/>
  <c r="AC19" i="1" s="1"/>
  <c r="V19" i="1"/>
  <c r="AM18" i="1"/>
  <c r="AK18" i="1"/>
  <c r="AI18" i="1"/>
  <c r="AE18" i="1"/>
  <c r="Y18" i="1"/>
  <c r="Z18" i="1" s="1"/>
  <c r="X18" i="1"/>
  <c r="W18" i="1"/>
  <c r="AC18" i="1" s="1"/>
  <c r="V18" i="1"/>
  <c r="AM17" i="1"/>
  <c r="AK17" i="1"/>
  <c r="AI17" i="1"/>
  <c r="AE17" i="1"/>
  <c r="Y17" i="1"/>
  <c r="Z17" i="1" s="1"/>
  <c r="X17" i="1"/>
  <c r="W17" i="1"/>
  <c r="V17" i="1"/>
  <c r="AM16" i="1"/>
  <c r="AK16" i="1"/>
  <c r="AI16" i="1"/>
  <c r="AE16" i="1"/>
  <c r="Y16" i="1"/>
  <c r="Z16" i="1" s="1"/>
  <c r="X16" i="1"/>
  <c r="W16" i="1"/>
  <c r="AC16" i="1" s="1"/>
  <c r="V16" i="1"/>
  <c r="AM15" i="1"/>
  <c r="AK15" i="1"/>
  <c r="AI15" i="1"/>
  <c r="AE15" i="1"/>
  <c r="Y15" i="1"/>
  <c r="Z15" i="1" s="1"/>
  <c r="X15" i="1"/>
  <c r="W15" i="1"/>
  <c r="AC15" i="1" s="1"/>
  <c r="V15" i="1"/>
  <c r="H10" i="1"/>
  <c r="A9" i="1"/>
  <c r="A7" i="1"/>
  <c r="A6" i="1"/>
  <c r="AA39" i="3" l="1"/>
  <c r="AB39" i="3" s="1"/>
  <c r="BG39" i="3" s="1"/>
  <c r="BI39" i="3" s="1"/>
  <c r="AA30" i="3"/>
  <c r="AB30" i="3" s="1"/>
  <c r="BG30" i="3" s="1"/>
  <c r="AA46" i="3"/>
  <c r="AB46" i="3" s="1"/>
  <c r="BG46" i="3" s="1"/>
  <c r="BH46" i="3" s="1"/>
  <c r="AA47" i="4"/>
  <c r="AB47" i="4" s="1"/>
  <c r="BF47" i="4" s="1"/>
  <c r="BG47" i="4" s="1"/>
  <c r="AA33" i="3"/>
  <c r="AB33" i="3" s="1"/>
  <c r="BG33" i="3" s="1"/>
  <c r="BI33" i="3" s="1"/>
  <c r="AA41" i="3"/>
  <c r="AB41" i="3" s="1"/>
  <c r="AA17" i="3"/>
  <c r="AB17" i="3" s="1"/>
  <c r="BG17" i="3" s="1"/>
  <c r="BI17" i="3" s="1"/>
  <c r="AA34" i="3"/>
  <c r="AB34" i="3" s="1"/>
  <c r="BG34" i="3" s="1"/>
  <c r="AA43" i="3"/>
  <c r="AB43" i="3" s="1"/>
  <c r="BG43" i="3" s="1"/>
  <c r="AA35" i="3"/>
  <c r="AB35" i="3" s="1"/>
  <c r="BG35" i="3" s="1"/>
  <c r="AA24" i="3"/>
  <c r="AB24" i="3" s="1"/>
  <c r="BG24" i="3" s="1"/>
  <c r="BI24" i="3" s="1"/>
  <c r="AA48" i="3"/>
  <c r="AB48" i="3" s="1"/>
  <c r="BG48" i="3" s="1"/>
  <c r="BI48" i="3" s="1"/>
  <c r="AA21" i="3"/>
  <c r="AB21" i="3" s="1"/>
  <c r="BG21" i="3" s="1"/>
  <c r="AA23" i="3"/>
  <c r="AB23" i="3" s="1"/>
  <c r="BG23" i="3" s="1"/>
  <c r="AA28" i="3"/>
  <c r="AB28" i="3" s="1"/>
  <c r="BG28" i="3" s="1"/>
  <c r="BH28" i="3" s="1"/>
  <c r="AA18" i="3"/>
  <c r="AB18" i="3" s="1"/>
  <c r="BG18" i="3" s="1"/>
  <c r="BH18" i="3" s="1"/>
  <c r="BG41" i="3"/>
  <c r="BI41" i="3" s="1"/>
  <c r="AA31" i="3"/>
  <c r="AB31" i="3" s="1"/>
  <c r="BG31" i="3" s="1"/>
  <c r="BI31" i="3" s="1"/>
  <c r="AA49" i="3"/>
  <c r="AB49" i="3" s="1"/>
  <c r="BG49" i="3" s="1"/>
  <c r="AA22" i="3"/>
  <c r="AB22" i="3" s="1"/>
  <c r="BG22" i="3" s="1"/>
  <c r="AA38" i="3"/>
  <c r="AB38" i="3" s="1"/>
  <c r="AA29" i="3"/>
  <c r="AB29" i="3" s="1"/>
  <c r="BG29" i="3" s="1"/>
  <c r="BH29" i="3" s="1"/>
  <c r="AA32" i="3"/>
  <c r="AB32" i="3" s="1"/>
  <c r="BG32" i="3" s="1"/>
  <c r="AA50" i="3"/>
  <c r="AB50" i="3" s="1"/>
  <c r="BG50" i="3" s="1"/>
  <c r="BI50" i="3" s="1"/>
  <c r="AA15" i="3"/>
  <c r="AB15" i="3" s="1"/>
  <c r="AA19" i="3"/>
  <c r="AB19" i="3" s="1"/>
  <c r="BG19" i="3" s="1"/>
  <c r="BI19" i="3" s="1"/>
  <c r="AA36" i="3"/>
  <c r="AB36" i="3" s="1"/>
  <c r="BG36" i="3" s="1"/>
  <c r="BI36" i="3" s="1"/>
  <c r="AA44" i="3"/>
  <c r="AB44" i="3" s="1"/>
  <c r="BG44" i="3" s="1"/>
  <c r="BI44" i="3" s="1"/>
  <c r="AA47" i="3"/>
  <c r="AB47" i="3" s="1"/>
  <c r="BG47" i="3" s="1"/>
  <c r="BH47" i="3" s="1"/>
  <c r="AA20" i="3"/>
  <c r="AB20" i="3" s="1"/>
  <c r="BG20" i="3" s="1"/>
  <c r="BH20" i="3" s="1"/>
  <c r="AA25" i="3"/>
  <c r="AB25" i="3" s="1"/>
  <c r="BG25" i="3" s="1"/>
  <c r="BI25" i="3" s="1"/>
  <c r="AA40" i="3"/>
  <c r="AB40" i="3" s="1"/>
  <c r="AA16" i="3"/>
  <c r="AB16" i="3" s="1"/>
  <c r="BG16" i="3" s="1"/>
  <c r="BI16" i="3" s="1"/>
  <c r="A9" i="3"/>
  <c r="AA26" i="3"/>
  <c r="AB26" i="3" s="1"/>
  <c r="BG26" i="3" s="1"/>
  <c r="BH26" i="3" s="1"/>
  <c r="AA37" i="3"/>
  <c r="AB37" i="3" s="1"/>
  <c r="BG37" i="3" s="1"/>
  <c r="BI37" i="3" s="1"/>
  <c r="AA28" i="1"/>
  <c r="AB28" i="1" s="1"/>
  <c r="AN28" i="1" s="1"/>
  <c r="AO28" i="1" s="1"/>
  <c r="AA41" i="1"/>
  <c r="AB41" i="1" s="1"/>
  <c r="AN41" i="1" s="1"/>
  <c r="AP41" i="1" s="1"/>
  <c r="AA35" i="1"/>
  <c r="AB35" i="1" s="1"/>
  <c r="AN35" i="1" s="1"/>
  <c r="AP35" i="1" s="1"/>
  <c r="AA33" i="1"/>
  <c r="AB33" i="1" s="1"/>
  <c r="AN33" i="1" s="1"/>
  <c r="AO33" i="1" s="1"/>
  <c r="AA45" i="1"/>
  <c r="AB45" i="1" s="1"/>
  <c r="AN45" i="1" s="1"/>
  <c r="AP45" i="1" s="1"/>
  <c r="AA44" i="1"/>
  <c r="AB44" i="1" s="1"/>
  <c r="AN44" i="1" s="1"/>
  <c r="AO44" i="1" s="1"/>
  <c r="AA50" i="1"/>
  <c r="AB50" i="1" s="1"/>
  <c r="AN50" i="1" s="1"/>
  <c r="AO50" i="1" s="1"/>
  <c r="AA43" i="1"/>
  <c r="AB43" i="1" s="1"/>
  <c r="AN43" i="1" s="1"/>
  <c r="AA24" i="1"/>
  <c r="AB24" i="1" s="1"/>
  <c r="AN24" i="1" s="1"/>
  <c r="AA30" i="1"/>
  <c r="AB30" i="1" s="1"/>
  <c r="AN30" i="1" s="1"/>
  <c r="AP30" i="1" s="1"/>
  <c r="AA42" i="1"/>
  <c r="AB42" i="1" s="1"/>
  <c r="AN42" i="1" s="1"/>
  <c r="AA25" i="1"/>
  <c r="AB25" i="1" s="1"/>
  <c r="AN25" i="1" s="1"/>
  <c r="AP25" i="1" s="1"/>
  <c r="AA27" i="4"/>
  <c r="AB27" i="4" s="1"/>
  <c r="BF27" i="4" s="1"/>
  <c r="BG27" i="4" s="1"/>
  <c r="AA17" i="4"/>
  <c r="AB17" i="4" s="1"/>
  <c r="AA45" i="4"/>
  <c r="AB45" i="4" s="1"/>
  <c r="BF45" i="4" s="1"/>
  <c r="BG45" i="4" s="1"/>
  <c r="AA41" i="4"/>
  <c r="AB41" i="4" s="1"/>
  <c r="AA37" i="4"/>
  <c r="AB37" i="4" s="1"/>
  <c r="BF37" i="4" s="1"/>
  <c r="BG37" i="4" s="1"/>
  <c r="AA35" i="4"/>
  <c r="AB35" i="4" s="1"/>
  <c r="BF35" i="4" s="1"/>
  <c r="BH35" i="4" s="1"/>
  <c r="AA22" i="4"/>
  <c r="AB22" i="4" s="1"/>
  <c r="BF22" i="4" s="1"/>
  <c r="BH22" i="4" s="1"/>
  <c r="AA15" i="4"/>
  <c r="AB15" i="4" s="1"/>
  <c r="BF15" i="4" s="1"/>
  <c r="AA25" i="4"/>
  <c r="AB25" i="4" s="1"/>
  <c r="BF25" i="4" s="1"/>
  <c r="BH25" i="4" s="1"/>
  <c r="AA31" i="4"/>
  <c r="AB31" i="4" s="1"/>
  <c r="BF31" i="4" s="1"/>
  <c r="BH31" i="4" s="1"/>
  <c r="AA16" i="4"/>
  <c r="AB16" i="4" s="1"/>
  <c r="BF16" i="4" s="1"/>
  <c r="BH16" i="4" s="1"/>
  <c r="AA26" i="4"/>
  <c r="AB26" i="4" s="1"/>
  <c r="BF26" i="4" s="1"/>
  <c r="BG26" i="4" s="1"/>
  <c r="AA36" i="4"/>
  <c r="AB36" i="4" s="1"/>
  <c r="BF36" i="4" s="1"/>
  <c r="BH36" i="4" s="1"/>
  <c r="AA33" i="4"/>
  <c r="AB33" i="4" s="1"/>
  <c r="BF33" i="4" s="1"/>
  <c r="AA28" i="4"/>
  <c r="AB28" i="4" s="1"/>
  <c r="BF28" i="4" s="1"/>
  <c r="AA32" i="4"/>
  <c r="AB32" i="4" s="1"/>
  <c r="BF32" i="4" s="1"/>
  <c r="BH32" i="4" s="1"/>
  <c r="BF41" i="4"/>
  <c r="BH41" i="4" s="1"/>
  <c r="AA23" i="4"/>
  <c r="AB23" i="4" s="1"/>
  <c r="BF23" i="4" s="1"/>
  <c r="BH23" i="4" s="1"/>
  <c r="AA38" i="4"/>
  <c r="AB38" i="4" s="1"/>
  <c r="BF38" i="4" s="1"/>
  <c r="BH38" i="4" s="1"/>
  <c r="AA43" i="4"/>
  <c r="AB43" i="4" s="1"/>
  <c r="BF43" i="4" s="1"/>
  <c r="AA20" i="4"/>
  <c r="AB20" i="4" s="1"/>
  <c r="BF20" i="4" s="1"/>
  <c r="BG20" i="4" s="1"/>
  <c r="AA42" i="4"/>
  <c r="AB42" i="4" s="1"/>
  <c r="BF42" i="4" s="1"/>
  <c r="AA18" i="4"/>
  <c r="AB18" i="4" s="1"/>
  <c r="BF18" i="4" s="1"/>
  <c r="BG18" i="4" s="1"/>
  <c r="AA40" i="1"/>
  <c r="AB40" i="1" s="1"/>
  <c r="AN40" i="1" s="1"/>
  <c r="AA38" i="1"/>
  <c r="AB38" i="1" s="1"/>
  <c r="AN38" i="1" s="1"/>
  <c r="AO38" i="1" s="1"/>
  <c r="AA37" i="1"/>
  <c r="AB37" i="1" s="1"/>
  <c r="AN37" i="1" s="1"/>
  <c r="AP37" i="1" s="1"/>
  <c r="AA36" i="1"/>
  <c r="AB36" i="1" s="1"/>
  <c r="AN36" i="1" s="1"/>
  <c r="AP36" i="1" s="1"/>
  <c r="AA51" i="1"/>
  <c r="AB51" i="1" s="1"/>
  <c r="AN51" i="1" s="1"/>
  <c r="AP51" i="1" s="1"/>
  <c r="AA48" i="1"/>
  <c r="AB48" i="1" s="1"/>
  <c r="AN48" i="1" s="1"/>
  <c r="AO48" i="1" s="1"/>
  <c r="AA46" i="1"/>
  <c r="AB46" i="1" s="1"/>
  <c r="AN46" i="1" s="1"/>
  <c r="AP46" i="1" s="1"/>
  <c r="AA23" i="1"/>
  <c r="AB23" i="1" s="1"/>
  <c r="AN23" i="1" s="1"/>
  <c r="AP23" i="1" s="1"/>
  <c r="AA31" i="1"/>
  <c r="AB31" i="1" s="1"/>
  <c r="AN31" i="1" s="1"/>
  <c r="AO31" i="1" s="1"/>
  <c r="AA29" i="1"/>
  <c r="AB29" i="1" s="1"/>
  <c r="AN29" i="1" s="1"/>
  <c r="AO29" i="1" s="1"/>
  <c r="AA26" i="1"/>
  <c r="AB26" i="1" s="1"/>
  <c r="AN26" i="1" s="1"/>
  <c r="AO26" i="1" s="1"/>
  <c r="AA21" i="1"/>
  <c r="AB21" i="1" s="1"/>
  <c r="AN21" i="1" s="1"/>
  <c r="AP21" i="1" s="1"/>
  <c r="AA20" i="1"/>
  <c r="AB20" i="1" s="1"/>
  <c r="AN20" i="1" s="1"/>
  <c r="AO20" i="1" s="1"/>
  <c r="AA18" i="1"/>
  <c r="AB18" i="1" s="1"/>
  <c r="AN18" i="1" s="1"/>
  <c r="AP18" i="1" s="1"/>
  <c r="AA17" i="1"/>
  <c r="AB17" i="1" s="1"/>
  <c r="AN17" i="1" s="1"/>
  <c r="AP17" i="1" s="1"/>
  <c r="AA16" i="1"/>
  <c r="AB16" i="1" s="1"/>
  <c r="AN16" i="1" s="1"/>
  <c r="AO16" i="1" s="1"/>
  <c r="AA15" i="1"/>
  <c r="AB15" i="1" s="1"/>
  <c r="AN15" i="1" s="1"/>
  <c r="AA51" i="2"/>
  <c r="AB51" i="2" s="1"/>
  <c r="BF51" i="2" s="1"/>
  <c r="AA33" i="2"/>
  <c r="AB33" i="2" s="1"/>
  <c r="BF33" i="2" s="1"/>
  <c r="BG33" i="2" s="1"/>
  <c r="AA46" i="2"/>
  <c r="AB46" i="2" s="1"/>
  <c r="BF46" i="2" s="1"/>
  <c r="BH46" i="2" s="1"/>
  <c r="AA36" i="2"/>
  <c r="AB36" i="2" s="1"/>
  <c r="BF36" i="2" s="1"/>
  <c r="AA37" i="2"/>
  <c r="AB37" i="2" s="1"/>
  <c r="BF37" i="2" s="1"/>
  <c r="AA50" i="2"/>
  <c r="AB50" i="2" s="1"/>
  <c r="BF50" i="2" s="1"/>
  <c r="BH50" i="2" s="1"/>
  <c r="AA49" i="2"/>
  <c r="AB49" i="2" s="1"/>
  <c r="BF49" i="2" s="1"/>
  <c r="AA44" i="2"/>
  <c r="AB44" i="2" s="1"/>
  <c r="BF44" i="2" s="1"/>
  <c r="BH44" i="2" s="1"/>
  <c r="AA43" i="2"/>
  <c r="AB43" i="2" s="1"/>
  <c r="BF43" i="2" s="1"/>
  <c r="BG43" i="2" s="1"/>
  <c r="AA42" i="2"/>
  <c r="AB42" i="2" s="1"/>
  <c r="BF42" i="2" s="1"/>
  <c r="BG42" i="2" s="1"/>
  <c r="AA41" i="2"/>
  <c r="AB41" i="2" s="1"/>
  <c r="BF41" i="2" s="1"/>
  <c r="AA38" i="2"/>
  <c r="AB38" i="2" s="1"/>
  <c r="BF38" i="2" s="1"/>
  <c r="BG38" i="2" s="1"/>
  <c r="AA35" i="2"/>
  <c r="AB35" i="2" s="1"/>
  <c r="BF35" i="2" s="1"/>
  <c r="AA34" i="2"/>
  <c r="AB34" i="2" s="1"/>
  <c r="BF34" i="2" s="1"/>
  <c r="AA32" i="2"/>
  <c r="AB32" i="2" s="1"/>
  <c r="BF32" i="2" s="1"/>
  <c r="AA29" i="2"/>
  <c r="AB29" i="2" s="1"/>
  <c r="BF29" i="2" s="1"/>
  <c r="BH29" i="2" s="1"/>
  <c r="AA28" i="2"/>
  <c r="AB28" i="2" s="1"/>
  <c r="BF28" i="2" s="1"/>
  <c r="BH28" i="2" s="1"/>
  <c r="AA27" i="2"/>
  <c r="AB27" i="2" s="1"/>
  <c r="BF27" i="2" s="1"/>
  <c r="AA24" i="2"/>
  <c r="AB24" i="2" s="1"/>
  <c r="BF24" i="2" s="1"/>
  <c r="BG24" i="2" s="1"/>
  <c r="AA23" i="2"/>
  <c r="AB23" i="2" s="1"/>
  <c r="BF23" i="2" s="1"/>
  <c r="BG23" i="2" s="1"/>
  <c r="AA19" i="2"/>
  <c r="AB19" i="2" s="1"/>
  <c r="BF19" i="2" s="1"/>
  <c r="AA18" i="2"/>
  <c r="AB18" i="2" s="1"/>
  <c r="BF18" i="2" s="1"/>
  <c r="AA17" i="2"/>
  <c r="AB17" i="2" s="1"/>
  <c r="BF17" i="2" s="1"/>
  <c r="BG17" i="2" s="1"/>
  <c r="AA15" i="2"/>
  <c r="AB15" i="2" s="1"/>
  <c r="BF15" i="2" s="1"/>
  <c r="AA39" i="1"/>
  <c r="AB39" i="1" s="1"/>
  <c r="AN39" i="1" s="1"/>
  <c r="AA25" i="2"/>
  <c r="AB25" i="2" s="1"/>
  <c r="BF25" i="2" s="1"/>
  <c r="BG38" i="3"/>
  <c r="AA47" i="1"/>
  <c r="AB47" i="1" s="1"/>
  <c r="AN47" i="1" s="1"/>
  <c r="AA19" i="1"/>
  <c r="AB19" i="1" s="1"/>
  <c r="AN19" i="1" s="1"/>
  <c r="A9" i="2"/>
  <c r="AA16" i="2"/>
  <c r="AB16" i="2" s="1"/>
  <c r="BF16" i="2" s="1"/>
  <c r="AA32" i="1"/>
  <c r="AB32" i="1" s="1"/>
  <c r="AN32" i="1" s="1"/>
  <c r="AA20" i="2"/>
  <c r="AB20" i="2" s="1"/>
  <c r="BF20" i="2" s="1"/>
  <c r="AA49" i="1"/>
  <c r="AB49" i="1" s="1"/>
  <c r="AN49" i="1" s="1"/>
  <c r="BG40" i="3"/>
  <c r="AA27" i="1"/>
  <c r="AB27" i="1" s="1"/>
  <c r="AN27" i="1" s="1"/>
  <c r="AA30" i="2"/>
  <c r="AB30" i="2" s="1"/>
  <c r="BF30" i="2" s="1"/>
  <c r="AA45" i="2"/>
  <c r="AB45" i="2" s="1"/>
  <c r="BF45" i="2" s="1"/>
  <c r="AC17" i="1"/>
  <c r="H8" i="1"/>
  <c r="AA22" i="1"/>
  <c r="AB22" i="1" s="1"/>
  <c r="AN22" i="1" s="1"/>
  <c r="AA34" i="1"/>
  <c r="AB34" i="1" s="1"/>
  <c r="AN34" i="1" s="1"/>
  <c r="AA22" i="2"/>
  <c r="AB22" i="2" s="1"/>
  <c r="BF22" i="2" s="1"/>
  <c r="AA39" i="2"/>
  <c r="AB39" i="2" s="1"/>
  <c r="BF39" i="2" s="1"/>
  <c r="AA21" i="2"/>
  <c r="AB21" i="2" s="1"/>
  <c r="BF21" i="2" s="1"/>
  <c r="AA26" i="2"/>
  <c r="AB26" i="2" s="1"/>
  <c r="BF26" i="2" s="1"/>
  <c r="AA31" i="2"/>
  <c r="AB31" i="2" s="1"/>
  <c r="BF31" i="2" s="1"/>
  <c r="AA40" i="2"/>
  <c r="AB40" i="2" s="1"/>
  <c r="BF40" i="2" s="1"/>
  <c r="AR15" i="3"/>
  <c r="AA48" i="2"/>
  <c r="AB48" i="2" s="1"/>
  <c r="BF48" i="2" s="1"/>
  <c r="AC15" i="4"/>
  <c r="H8" i="4"/>
  <c r="AC15" i="3"/>
  <c r="H8" i="3"/>
  <c r="H8" i="2"/>
  <c r="AA27" i="3"/>
  <c r="AB27" i="3" s="1"/>
  <c r="BG27" i="3" s="1"/>
  <c r="AA29" i="4"/>
  <c r="AB29" i="4" s="1"/>
  <c r="BF29" i="4" s="1"/>
  <c r="AA30" i="4"/>
  <c r="AB30" i="4" s="1"/>
  <c r="BF30" i="4" s="1"/>
  <c r="AA47" i="2"/>
  <c r="AB47" i="2" s="1"/>
  <c r="BF47" i="2" s="1"/>
  <c r="AA52" i="2"/>
  <c r="AB52" i="2" s="1"/>
  <c r="BF52" i="2" s="1"/>
  <c r="AA21" i="4"/>
  <c r="AB21" i="4" s="1"/>
  <c r="BF21" i="4" s="1"/>
  <c r="AA46" i="4"/>
  <c r="AB46" i="4" s="1"/>
  <c r="BF46" i="4" s="1"/>
  <c r="AC15" i="2"/>
  <c r="AA42" i="3"/>
  <c r="AB42" i="3" s="1"/>
  <c r="BG42" i="3" s="1"/>
  <c r="AQ17" i="4"/>
  <c r="A9" i="4"/>
  <c r="AA39" i="4"/>
  <c r="AB39" i="4" s="1"/>
  <c r="BF39" i="4" s="1"/>
  <c r="AA40" i="4"/>
  <c r="AB40" i="4" s="1"/>
  <c r="BF40" i="4" s="1"/>
  <c r="AA24" i="4"/>
  <c r="AB24" i="4" s="1"/>
  <c r="BF24" i="4" s="1"/>
  <c r="AA45" i="3"/>
  <c r="AB45" i="3" s="1"/>
  <c r="BG45" i="3" s="1"/>
  <c r="AA34" i="4"/>
  <c r="AB34" i="4" s="1"/>
  <c r="BF34" i="4" s="1"/>
  <c r="AA44" i="4"/>
  <c r="AB44" i="4" s="1"/>
  <c r="BF44" i="4" s="1"/>
  <c r="AA19" i="4"/>
  <c r="AB19" i="4" s="1"/>
  <c r="BF19" i="4" s="1"/>
  <c r="BH45" i="4" l="1"/>
  <c r="BH47" i="4"/>
  <c r="BH37" i="4"/>
  <c r="BI46" i="3"/>
  <c r="BH39" i="3"/>
  <c r="BI47" i="3"/>
  <c r="BI18" i="3"/>
  <c r="BH33" i="3"/>
  <c r="BG41" i="4"/>
  <c r="BH44" i="3"/>
  <c r="BI28" i="3"/>
  <c r="BH34" i="3"/>
  <c r="BI34" i="3"/>
  <c r="BH24" i="3"/>
  <c r="BI20" i="3"/>
  <c r="BF17" i="4"/>
  <c r="BH17" i="4" s="1"/>
  <c r="BH35" i="3"/>
  <c r="BI35" i="3"/>
  <c r="BH43" i="3"/>
  <c r="BI43" i="3"/>
  <c r="BI23" i="3"/>
  <c r="BH23" i="3"/>
  <c r="BH21" i="3"/>
  <c r="BI21" i="3"/>
  <c r="BH31" i="3"/>
  <c r="BH50" i="3"/>
  <c r="BH36" i="3"/>
  <c r="BH19" i="3"/>
  <c r="BH37" i="3"/>
  <c r="BH48" i="3"/>
  <c r="BI29" i="3"/>
  <c r="BH41" i="3"/>
  <c r="BI26" i="3"/>
  <c r="BH17" i="3"/>
  <c r="BH16" i="3"/>
  <c r="BH25" i="3"/>
  <c r="AO25" i="1"/>
  <c r="AP44" i="1"/>
  <c r="AP24" i="1"/>
  <c r="AO24" i="1"/>
  <c r="AP28" i="1"/>
  <c r="AO21" i="1"/>
  <c r="BG36" i="4"/>
  <c r="BG35" i="4"/>
  <c r="BG31" i="4"/>
  <c r="BG23" i="4"/>
  <c r="BG38" i="4"/>
  <c r="BH27" i="4"/>
  <c r="BH26" i="4"/>
  <c r="BG25" i="4"/>
  <c r="BG22" i="4"/>
  <c r="BH20" i="4"/>
  <c r="BG16" i="4"/>
  <c r="BH33" i="4"/>
  <c r="BG33" i="4"/>
  <c r="BG43" i="4"/>
  <c r="BH43" i="4"/>
  <c r="BH18" i="4"/>
  <c r="BG32" i="4"/>
  <c r="AO30" i="1"/>
  <c r="AO23" i="1"/>
  <c r="AP50" i="1"/>
  <c r="AO46" i="1"/>
  <c r="AP38" i="1"/>
  <c r="AO35" i="1"/>
  <c r="AP33" i="1"/>
  <c r="AP16" i="1"/>
  <c r="AO45" i="1"/>
  <c r="AP26" i="1"/>
  <c r="AO17" i="1"/>
  <c r="AP48" i="1"/>
  <c r="AO41" i="1"/>
  <c r="AP29" i="1"/>
  <c r="AO36" i="1"/>
  <c r="AO37" i="1"/>
  <c r="AP31" i="1"/>
  <c r="AP20" i="1"/>
  <c r="AO51" i="1"/>
  <c r="AO18" i="1"/>
  <c r="BH38" i="2"/>
  <c r="BH42" i="2"/>
  <c r="BG46" i="2"/>
  <c r="BG29" i="2"/>
  <c r="BH43" i="2"/>
  <c r="BG28" i="2"/>
  <c r="BH33" i="2"/>
  <c r="BG44" i="2"/>
  <c r="BG50" i="2"/>
  <c r="BH17" i="2"/>
  <c r="BH24" i="2"/>
  <c r="BH23" i="2"/>
  <c r="BG39" i="2"/>
  <c r="BH39" i="2"/>
  <c r="BG37" i="2"/>
  <c r="BH37" i="2"/>
  <c r="BI38" i="3"/>
  <c r="BH38" i="3"/>
  <c r="A8" i="1"/>
  <c r="BG32" i="2"/>
  <c r="BH32" i="2"/>
  <c r="A10" i="1"/>
  <c r="AP15" i="1"/>
  <c r="AO15" i="1"/>
  <c r="BH40" i="4"/>
  <c r="BG40" i="4"/>
  <c r="BG40" i="2"/>
  <c r="BH40" i="2"/>
  <c r="BH39" i="4"/>
  <c r="BG39" i="4"/>
  <c r="BH47" i="2"/>
  <c r="BG47" i="2"/>
  <c r="BH28" i="4"/>
  <c r="BG28" i="4"/>
  <c r="BG41" i="2"/>
  <c r="BH41" i="2"/>
  <c r="BG22" i="2"/>
  <c r="BH22" i="2"/>
  <c r="BG34" i="2"/>
  <c r="BH34" i="2"/>
  <c r="BG15" i="3"/>
  <c r="BH27" i="2"/>
  <c r="BG27" i="2"/>
  <c r="BI45" i="3"/>
  <c r="BH45" i="3"/>
  <c r="BH42" i="4"/>
  <c r="BG42" i="4"/>
  <c r="BH52" i="2"/>
  <c r="BG52" i="2"/>
  <c r="BH51" i="2"/>
  <c r="BG51" i="2"/>
  <c r="BH30" i="2"/>
  <c r="BG30" i="2"/>
  <c r="BG36" i="2"/>
  <c r="BH36" i="2"/>
  <c r="BH19" i="2"/>
  <c r="BG19" i="2"/>
  <c r="BH18" i="2"/>
  <c r="BG18" i="2"/>
  <c r="BG35" i="2"/>
  <c r="BH35" i="2"/>
  <c r="AO49" i="1"/>
  <c r="AP49" i="1"/>
  <c r="BH48" i="2"/>
  <c r="BG48" i="2"/>
  <c r="BH24" i="4"/>
  <c r="BG24" i="4"/>
  <c r="BG21" i="2"/>
  <c r="BH21" i="2"/>
  <c r="A8" i="3"/>
  <c r="BH44" i="4"/>
  <c r="BG44" i="4"/>
  <c r="BI30" i="3"/>
  <c r="BH30" i="3"/>
  <c r="AO34" i="1"/>
  <c r="AP34" i="1"/>
  <c r="AP27" i="1"/>
  <c r="AO27" i="1"/>
  <c r="BI49" i="3"/>
  <c r="BH49" i="3"/>
  <c r="BH30" i="4"/>
  <c r="BG30" i="4"/>
  <c r="A8" i="4"/>
  <c r="AO43" i="1"/>
  <c r="AP43" i="1"/>
  <c r="BH19" i="4"/>
  <c r="BG19" i="4"/>
  <c r="BI42" i="3"/>
  <c r="BH42" i="3"/>
  <c r="BH29" i="4"/>
  <c r="BG29" i="4"/>
  <c r="BH15" i="4"/>
  <c r="BG15" i="4"/>
  <c r="AO42" i="1"/>
  <c r="AP42" i="1"/>
  <c r="AP40" i="1"/>
  <c r="AO40" i="1"/>
  <c r="BH20" i="2"/>
  <c r="BG20" i="2"/>
  <c r="AP47" i="1"/>
  <c r="AO47" i="1"/>
  <c r="BH34" i="4"/>
  <c r="BG34" i="4"/>
  <c r="BH46" i="4"/>
  <c r="BG46" i="4"/>
  <c r="BI22" i="3"/>
  <c r="BH22" i="3"/>
  <c r="BI32" i="3"/>
  <c r="BH32" i="3"/>
  <c r="AO22" i="1"/>
  <c r="AP22" i="1"/>
  <c r="AP19" i="1"/>
  <c r="AO19" i="1"/>
  <c r="BH25" i="2"/>
  <c r="BG25" i="2"/>
  <c r="BG31" i="2"/>
  <c r="BH31" i="2"/>
  <c r="AP32" i="1"/>
  <c r="AO32" i="1"/>
  <c r="AO39" i="1"/>
  <c r="AP39" i="1"/>
  <c r="BH21" i="4"/>
  <c r="BG21" i="4"/>
  <c r="BI27" i="3"/>
  <c r="BH27" i="3"/>
  <c r="BG26" i="2"/>
  <c r="BH26" i="2"/>
  <c r="BI40" i="3"/>
  <c r="BH40" i="3"/>
  <c r="BH16" i="2"/>
  <c r="BG16" i="2"/>
  <c r="A8" i="2"/>
  <c r="BH49" i="2"/>
  <c r="BG49" i="2"/>
  <c r="BH45" i="2"/>
  <c r="BG45" i="2"/>
  <c r="BG15" i="2"/>
  <c r="BH15" i="2"/>
  <c r="A10" i="2"/>
  <c r="A10" i="4" l="1"/>
  <c r="BG17" i="4"/>
  <c r="H6" i="2"/>
  <c r="H7" i="2"/>
  <c r="H9" i="2"/>
  <c r="H9" i="1"/>
  <c r="H6" i="1"/>
  <c r="H7" i="1"/>
  <c r="H9" i="4"/>
  <c r="H7" i="4"/>
  <c r="H6" i="4"/>
  <c r="BI15" i="3"/>
  <c r="BH15" i="3"/>
  <c r="A10" i="3"/>
  <c r="H9" i="3" l="1"/>
  <c r="H7" i="3"/>
  <c r="H6" i="3"/>
</calcChain>
</file>

<file path=xl/sharedStrings.xml><?xml version="1.0" encoding="utf-8"?>
<sst xmlns="http://schemas.openxmlformats.org/spreadsheetml/2006/main" count="2414" uniqueCount="519">
  <si>
    <t>PHUKET RAJABHAT UNIVERSITY · SEMESTER GRADEBOOK</t>
  </si>
  <si>
    <t>English for Communication  ·  Course Code: 9901004 / 9901104</t>
  </si>
  <si>
    <t>Academic Year 2026, Semester 1  ·  Class Day: Monday  ·  Schedule: Mon 13:30-15:30 Room 145 / Wed 8:30-10:30 Room 1101  ·  Instructor: Ma. Cristina Julaton</t>
  </si>
  <si>
    <t>COURSE SUMMARY  (updates automatically)</t>
  </si>
  <si>
    <t>No.</t>
  </si>
  <si>
    <t>Student ID</t>
  </si>
  <si>
    <t>Student Name</t>
  </si>
  <si>
    <t>ATTENDANCE  (10% of final grade)  — P / A / E / NC</t>
  </si>
  <si>
    <t>MIDTERM EXAMINATION PERIOD
August 31 - September 4, 2026
No Regular Classes</t>
  </si>
  <si>
    <t>ATTENDANCE  (10% of final grade)  — P / A / E / NC (cont.)</t>
  </si>
  <si>
    <t>FINAL EXAMINATION PERIOD
October 26-30, 2026
No Regular Classes</t>
  </si>
  <si>
    <t>ATTENDANCE SUMMARY (auto-calculated)</t>
  </si>
  <si>
    <t>SPEAKING &amp; LISTENING TEST #1  (10%)</t>
  </si>
  <si>
    <t>MIDTERM EXAMINATION  (20%)</t>
  </si>
  <si>
    <t>SPEAKING &amp; LISTENING TEST #2  (15%)</t>
  </si>
  <si>
    <t>GROUP PRESENTATION WITH Q&amp;A  (15%)</t>
  </si>
  <si>
    <t>FINAL EXAMINATION  (30%)</t>
  </si>
  <si>
    <t>FINAL GRADE</t>
  </si>
  <si>
    <t>06 Jul</t>
  </si>
  <si>
    <t>13 Jul</t>
  </si>
  <si>
    <t>20 Jul</t>
  </si>
  <si>
    <t>27 Jul</t>
  </si>
  <si>
    <t>03 Aug</t>
  </si>
  <si>
    <t>10 Aug</t>
  </si>
  <si>
    <t>17 Aug</t>
  </si>
  <si>
    <t>24 Aug</t>
  </si>
  <si>
    <t>07 Sep</t>
  </si>
  <si>
    <t>14 Sep</t>
  </si>
  <si>
    <t>21 Sep</t>
  </si>
  <si>
    <t>28 Sep</t>
  </si>
  <si>
    <t>05 Oct</t>
  </si>
  <si>
    <t>12 Oct</t>
  </si>
  <si>
    <t>19 Oct</t>
  </si>
  <si>
    <t>Present</t>
  </si>
  <si>
    <t>Total
Absences</t>
  </si>
  <si>
    <t>Excused</t>
  </si>
  <si>
    <t>No Class
(NC)</t>
  </si>
  <si>
    <t>Actual
Classes Held</t>
  </si>
  <si>
    <t>Attendance
%</t>
  </si>
  <si>
    <t>Attendance
Weighted /10</t>
  </si>
  <si>
    <t>Absence
Status</t>
  </si>
  <si>
    <t>Score
/100</t>
  </si>
  <si>
    <t>Weighted
/10</t>
  </si>
  <si>
    <t>Weighted
/20</t>
  </si>
  <si>
    <t>Weighted
/15</t>
  </si>
  <si>
    <t>Weighted
/30</t>
  </si>
  <si>
    <t>Final Grade
/100</t>
  </si>
  <si>
    <t>Letter
Grade</t>
  </si>
  <si>
    <t>Status
(Pass ≥50)</t>
  </si>
  <si>
    <t>6913744101</t>
  </si>
  <si>
    <t>Ms. Kamonchanok Tongtip</t>
  </si>
  <si>
    <t>6913744102</t>
  </si>
  <si>
    <t>Ms. Kanyanat Chanthawat</t>
  </si>
  <si>
    <t>6913744103</t>
  </si>
  <si>
    <t>Mr. Kerkkiaet Chumpon</t>
  </si>
  <si>
    <t>6913744104</t>
  </si>
  <si>
    <t>Ms. Khodiya Mukhura</t>
  </si>
  <si>
    <t>6913744105</t>
  </si>
  <si>
    <t>Ms. Chuthamanee Ramphun</t>
  </si>
  <si>
    <t>6913744106</t>
  </si>
  <si>
    <t>Ms. Saneeya Dokyeeson</t>
  </si>
  <si>
    <t>6913744107</t>
  </si>
  <si>
    <t>Ms. Tikamphon Paewpairee</t>
  </si>
  <si>
    <t>6913744108</t>
  </si>
  <si>
    <t>Ms. Nattakrita Srinaowarat</t>
  </si>
  <si>
    <t>6913744110</t>
  </si>
  <si>
    <t>Mr. Nattapat Phakkunnan</t>
  </si>
  <si>
    <t>6913744111</t>
  </si>
  <si>
    <t>Ms. Tithipphayanipha Simachany</t>
  </si>
  <si>
    <t>6913744112</t>
  </si>
  <si>
    <t>Ms. Thidathip Changsaeng</t>
  </si>
  <si>
    <t>6913744113</t>
  </si>
  <si>
    <t>Ms. Natchami Chamnanwethi</t>
  </si>
  <si>
    <t>6913744114</t>
  </si>
  <si>
    <t>Ms. Nasreen Kongsin</t>
  </si>
  <si>
    <t>6913744115</t>
  </si>
  <si>
    <t>Ms. Ninlanee Supmak</t>
  </si>
  <si>
    <t>6913744116</t>
  </si>
  <si>
    <t>Ms. Nurarsikin Hwangbu</t>
  </si>
  <si>
    <t>6913744117</t>
  </si>
  <si>
    <t>Ms. Nureeda Bortoei</t>
  </si>
  <si>
    <t>6913744119</t>
  </si>
  <si>
    <t>Mr. Pavaonrat Srirak</t>
  </si>
  <si>
    <t>6913744121</t>
  </si>
  <si>
    <t>Ms. Pinnicha Saetan</t>
  </si>
  <si>
    <t>6913744122</t>
  </si>
  <si>
    <t>Ms. Panida Songkun</t>
  </si>
  <si>
    <t>6913744123</t>
  </si>
  <si>
    <t>Ms. Phetwadee Rueangphetr</t>
  </si>
  <si>
    <t>6913744124</t>
  </si>
  <si>
    <t>Ms. Fadear Chemah</t>
  </si>
  <si>
    <t>6913744125</t>
  </si>
  <si>
    <t>Ms. Phakkharamai Phokha</t>
  </si>
  <si>
    <t>6913744126</t>
  </si>
  <si>
    <t>Ms. Mareeya Krueasob</t>
  </si>
  <si>
    <t>6913744127</t>
  </si>
  <si>
    <t>Ms. Ruangmanee Kongpan</t>
  </si>
  <si>
    <t>6913744128</t>
  </si>
  <si>
    <t>Ms. Russanee Waewwanchit</t>
  </si>
  <si>
    <t>6913744129</t>
  </si>
  <si>
    <t>Ms. Wannaporn Sae-tan</t>
  </si>
  <si>
    <t>6913744131</t>
  </si>
  <si>
    <t>Ms. Sasikan Thimkorn</t>
  </si>
  <si>
    <t>6913744132</t>
  </si>
  <si>
    <t>Ms. Sirorat Mankun</t>
  </si>
  <si>
    <t>6913744133</t>
  </si>
  <si>
    <t>Mr. Suphakit Lirum</t>
  </si>
  <si>
    <t>6913744134</t>
  </si>
  <si>
    <t>Ms. Samantachida Jitchoy</t>
  </si>
  <si>
    <t>6913744135</t>
  </si>
  <si>
    <t>Ms. Honglada Nooim</t>
  </si>
  <si>
    <t>6913744136</t>
  </si>
  <si>
    <t>Mr. Aphichai Limsakun</t>
  </si>
  <si>
    <t>6913744137</t>
  </si>
  <si>
    <t>Ms. Amonrat Tasang</t>
  </si>
  <si>
    <t>6913744138</t>
  </si>
  <si>
    <t>Ms. Orratai Somsak</t>
  </si>
  <si>
    <t>6913744139</t>
  </si>
  <si>
    <t>Ms. Alisa Samah</t>
  </si>
  <si>
    <t>6913744140</t>
  </si>
  <si>
    <t>Ms. Atittaya Chupradid</t>
  </si>
  <si>
    <t>6913744141</t>
  </si>
  <si>
    <t>Mr. Arnan</t>
  </si>
  <si>
    <t>English for MICE Industries (Tourism Business Management)  ·  Course Code: 6335417</t>
  </si>
  <si>
    <t>Academic Year 2026, Semester 1  ·  Class Day: Tuesday  ·  Schedule: Tue 13:30-17:30, Room 143  ·  Instructor: Ma. Cristina Julaton</t>
  </si>
  <si>
    <t>VOCABULARY &amp; LISTENING QUIZZES  (15%)</t>
  </si>
  <si>
    <t>SPEAKING TASKS &amp; CLASSROOM ROLE PLAYS  (25%)</t>
  </si>
  <si>
    <t>PROFESSIONAL WRITING TASKS  (10%)</t>
  </si>
  <si>
    <t>CAPSTONE MICE EVENT PRESENTATION  (10%)</t>
  </si>
  <si>
    <t>FINAL EXAMINATION  (10%)</t>
  </si>
  <si>
    <t>07 Jul</t>
  </si>
  <si>
    <t>14 Jul</t>
  </si>
  <si>
    <t>21 Jul</t>
  </si>
  <si>
    <t>28 Jul</t>
  </si>
  <si>
    <t>04 Aug</t>
  </si>
  <si>
    <t>11 Aug</t>
  </si>
  <si>
    <t>18 Aug</t>
  </si>
  <si>
    <t>25 Aug</t>
  </si>
  <si>
    <t>08 Sep</t>
  </si>
  <si>
    <t>15 Sep</t>
  </si>
  <si>
    <t>22 Sep</t>
  </si>
  <si>
    <t>29 Sep</t>
  </si>
  <si>
    <t>06 Oct</t>
  </si>
  <si>
    <t>13 Oct</t>
  </si>
  <si>
    <t>20 Oct</t>
  </si>
  <si>
    <t>Quiz 1
/100</t>
  </si>
  <si>
    <t>Quiz 2
/100</t>
  </si>
  <si>
    <t>Quiz 3
/100</t>
  </si>
  <si>
    <t>Quiz 4
/100</t>
  </si>
  <si>
    <t>Quiz 5
/100</t>
  </si>
  <si>
    <t>Average
/100</t>
  </si>
  <si>
    <t>Task 1
/100</t>
  </si>
  <si>
    <t>Task 2
/100</t>
  </si>
  <si>
    <t>Task 3
/100</t>
  </si>
  <si>
    <t>Task 4
/100</t>
  </si>
  <si>
    <t>Task 5
/100</t>
  </si>
  <si>
    <t>Weighted
/25</t>
  </si>
  <si>
    <t>6713773101</t>
  </si>
  <si>
    <t>Ms. Kamonwan Phomduang</t>
  </si>
  <si>
    <t>6713773102</t>
  </si>
  <si>
    <t>Mr. Kubro Suebphong</t>
  </si>
  <si>
    <t>6713773103</t>
  </si>
  <si>
    <t>Ms. Juntima Linkluan</t>
  </si>
  <si>
    <t>6713773104</t>
  </si>
  <si>
    <t>6713773105</t>
  </si>
  <si>
    <t>Mr. Thitiphong Hemngam</t>
  </si>
  <si>
    <t>6713773107</t>
  </si>
  <si>
    <t>Mr. Natthakon Leklai</t>
  </si>
  <si>
    <t>6713773110</t>
  </si>
  <si>
    <t>Ms. Natthinee Martsri</t>
  </si>
  <si>
    <t>6713773111</t>
  </si>
  <si>
    <t>Ms. Papitchaya Nakpan</t>
  </si>
  <si>
    <t>6713773112</t>
  </si>
  <si>
    <t>Ms. Parisa Varintarawech</t>
  </si>
  <si>
    <t>6713773117</t>
  </si>
  <si>
    <t>Mr. Ratthapum Aemaot</t>
  </si>
  <si>
    <t>6713773118</t>
  </si>
  <si>
    <t>Ms. Vachiraya Lechay</t>
  </si>
  <si>
    <t>6713773119</t>
  </si>
  <si>
    <t>Mr. Weerayut Khaminthong</t>
  </si>
  <si>
    <t>6713773120</t>
  </si>
  <si>
    <t>Mr. Sivapat Luangphanang</t>
  </si>
  <si>
    <t>6713773123</t>
  </si>
  <si>
    <t>Ms. Sudaporn Thothip</t>
  </si>
  <si>
    <t>6713773124</t>
  </si>
  <si>
    <t>Ms. Sumon Ketthong</t>
  </si>
  <si>
    <t>6713773128</t>
  </si>
  <si>
    <t>Ms. Orakan Phunapisit</t>
  </si>
  <si>
    <t>6713773131</t>
  </si>
  <si>
    <t>Mr. Annasru Hayiyusoh</t>
  </si>
  <si>
    <t>6713773201</t>
  </si>
  <si>
    <t>Ms. Kitriya Maiessara</t>
  </si>
  <si>
    <t>6713773202</t>
  </si>
  <si>
    <t>Ms. Kunlathida Muanchai</t>
  </si>
  <si>
    <t>6713773203</t>
  </si>
  <si>
    <t>Ms. Jutamart Jarupongsanon</t>
  </si>
  <si>
    <t>6713773204</t>
  </si>
  <si>
    <t>Ms. Chadaporn Koongammak</t>
  </si>
  <si>
    <t>6713773207</t>
  </si>
  <si>
    <t>Ms. Nitchakan Khanantai</t>
  </si>
  <si>
    <t>6713773211</t>
  </si>
  <si>
    <t>Ms. Tassanee Thinkohyao</t>
  </si>
  <si>
    <t>6713773212</t>
  </si>
  <si>
    <t>Ms. Nurulsuhada Binasae</t>
  </si>
  <si>
    <t>6713773213</t>
  </si>
  <si>
    <t>Ms. Pragaypech Naiemngam</t>
  </si>
  <si>
    <t>6713773215</t>
  </si>
  <si>
    <t>Ms. Panisa Kongsang</t>
  </si>
  <si>
    <t>6713773216</t>
  </si>
  <si>
    <t>Ms. Pitcha Vatcharapongsakorn</t>
  </si>
  <si>
    <t>6713773217</t>
  </si>
  <si>
    <t>Mr. Puriphat Pattano</t>
  </si>
  <si>
    <t>6713773218</t>
  </si>
  <si>
    <t>Ms. Ranchida Sawasdee</t>
  </si>
  <si>
    <t>6713773219</t>
  </si>
  <si>
    <t>Mr. Ramnarong Maraya</t>
  </si>
  <si>
    <t>6713773220</t>
  </si>
  <si>
    <t>Ms. Wanthani Buriphia</t>
  </si>
  <si>
    <t>6713773221</t>
  </si>
  <si>
    <t>Ms. Siriyamat Rotrueangrit</t>
  </si>
  <si>
    <t>6713773222</t>
  </si>
  <si>
    <t>Mr. Supachai Inrit</t>
  </si>
  <si>
    <t>6713773225</t>
  </si>
  <si>
    <t>Ms. Supaporn Jiaranai</t>
  </si>
  <si>
    <t>6713773226</t>
  </si>
  <si>
    <t>Ms. Aticha Tedkul</t>
  </si>
  <si>
    <t>6713773227</t>
  </si>
  <si>
    <t>Ms. Aniltita Truadnok</t>
  </si>
  <si>
    <t>6713773230</t>
  </si>
  <si>
    <t>Mr. Oatthaphon Sihasaen</t>
  </si>
  <si>
    <t>6713773231</t>
  </si>
  <si>
    <t>Ms. Atitaya Kamrairaksa</t>
  </si>
  <si>
    <t>English for Wellness Tourism  ·  Course Code: 6335219</t>
  </si>
  <si>
    <t>Academic Year 2026, Semester 1  ·  Class Day: Wednesday  ·  Schedule: Wed 8:30-12:30, Room 142  ·  Instructor: Ma. Cristina Julaton</t>
  </si>
  <si>
    <t>SPEAKING TASKS &amp; ROLE PLAYS  (25%)</t>
  </si>
  <si>
    <t>CLASSROOM ACTIVITIES &amp; ASSIGNMENTS  (10%)</t>
  </si>
  <si>
    <t>FINAL WELLNESS TOURISM GROUP PRESENTATION  (10%)</t>
  </si>
  <si>
    <t>08 Jul</t>
  </si>
  <si>
    <t>15 Jul</t>
  </si>
  <si>
    <t>22 Jul</t>
  </si>
  <si>
    <t>29 Jul</t>
  </si>
  <si>
    <t>05 Aug</t>
  </si>
  <si>
    <t>12 Aug</t>
  </si>
  <si>
    <t>19 Aug</t>
  </si>
  <si>
    <t>26 Aug</t>
  </si>
  <si>
    <t>09 Sep</t>
  </si>
  <si>
    <t>16 Sep</t>
  </si>
  <si>
    <t>23 Sep</t>
  </si>
  <si>
    <t>30 Sep</t>
  </si>
  <si>
    <t>07 Oct</t>
  </si>
  <si>
    <t>14 Oct</t>
  </si>
  <si>
    <t>21 Oct</t>
  </si>
  <si>
    <t>Task 6
/100</t>
  </si>
  <si>
    <t>6715105101</t>
  </si>
  <si>
    <t>Ms. Konkamon Sangpakay</t>
  </si>
  <si>
    <t>6715105102</t>
  </si>
  <si>
    <t>Mr. Kittithat Rattanadilok Na Phuket</t>
  </si>
  <si>
    <t>6715105106</t>
  </si>
  <si>
    <t>Ms. Chantra Plodphai</t>
  </si>
  <si>
    <t>6715105107</t>
  </si>
  <si>
    <t>Mr. Jirapad Luxsanavimol</t>
  </si>
  <si>
    <t>6715105111</t>
  </si>
  <si>
    <t>Ms. Natnicha Supaprot</t>
  </si>
  <si>
    <t>6715105113</t>
  </si>
  <si>
    <t>Ms. Nichaphat Nayao</t>
  </si>
  <si>
    <t>6715105115</t>
  </si>
  <si>
    <t>Ms. Thamonwan Chonlatee</t>
  </si>
  <si>
    <t>6715105116</t>
  </si>
  <si>
    <t>Mr. Teerapong Sutson</t>
  </si>
  <si>
    <t>6715105120</t>
  </si>
  <si>
    <t>Ms. Pilipda Nondon</t>
  </si>
  <si>
    <t>6715105123</t>
  </si>
  <si>
    <t>Mr. Ronnakorn Prasomkit</t>
  </si>
  <si>
    <t>6715105126</t>
  </si>
  <si>
    <t>Ms. Sasawan Junpakdee</t>
  </si>
  <si>
    <t>6715105128</t>
  </si>
  <si>
    <t>Mr. Surasak Prombut</t>
  </si>
  <si>
    <t>6715105130</t>
  </si>
  <si>
    <t>Ms. Onauma Arman</t>
  </si>
  <si>
    <t>6715105132</t>
  </si>
  <si>
    <t>Mr. Aekkawat Saelim</t>
  </si>
  <si>
    <t>6715105133</t>
  </si>
  <si>
    <t>Ms. Dusita Sukbanbon</t>
  </si>
  <si>
    <t>6715105134</t>
  </si>
  <si>
    <t>Ms. Ranrawe Rueangdech</t>
  </si>
  <si>
    <t>6715105135</t>
  </si>
  <si>
    <t>Ms. Prapassorn Suwantara</t>
  </si>
  <si>
    <t>6815105134</t>
  </si>
  <si>
    <t>Ms. Sawittree Yanyun</t>
  </si>
  <si>
    <t>6815105137</t>
  </si>
  <si>
    <t>Ms. Saowalak Nayao</t>
  </si>
  <si>
    <t>6715105204</t>
  </si>
  <si>
    <t>Ms. Jaritchaya Saman</t>
  </si>
  <si>
    <t>6715105205</t>
  </si>
  <si>
    <t>Ms. Janraem Bona</t>
  </si>
  <si>
    <t>6715105206</t>
  </si>
  <si>
    <t>Ms. Jirapat Peakboot</t>
  </si>
  <si>
    <t>6715105208</t>
  </si>
  <si>
    <t>Ms. Yanatchara Thintale</t>
  </si>
  <si>
    <t>6715105209</t>
  </si>
  <si>
    <t>Ms. Thitima Tandhasri</t>
  </si>
  <si>
    <t>6715105210</t>
  </si>
  <si>
    <t>Ms. Natthicha Yaprang</t>
  </si>
  <si>
    <t>6715105211</t>
  </si>
  <si>
    <t>Mr. Nathaphat Nama</t>
  </si>
  <si>
    <t>6715105214</t>
  </si>
  <si>
    <t>Ms. Tidarat Chanasin</t>
  </si>
  <si>
    <t>6715105220</t>
  </si>
  <si>
    <t>Ms. Phetcharat Puangket</t>
  </si>
  <si>
    <t>6715105221</t>
  </si>
  <si>
    <t>Ms. Panthira Kongkaew</t>
  </si>
  <si>
    <t>6715105223</t>
  </si>
  <si>
    <t>Mr. Ronnaphum Wannasorn</t>
  </si>
  <si>
    <t>6715105224</t>
  </si>
  <si>
    <t>Ms. Runchida Chimprasit</t>
  </si>
  <si>
    <t>6715105225</t>
  </si>
  <si>
    <t>Ms. Waranya Hassajag</t>
  </si>
  <si>
    <t>6715105227</t>
  </si>
  <si>
    <t>Ms. Sudarat Chanthakhian</t>
  </si>
  <si>
    <t>6715105228</t>
  </si>
  <si>
    <t>Ms. Suphawadi Ouechanya</t>
  </si>
  <si>
    <t>6715105230</t>
  </si>
  <si>
    <t>Ms. Aritsara Thanon</t>
  </si>
  <si>
    <t>6715105232</t>
  </si>
  <si>
    <t>Ms. Sirichada Namyen</t>
  </si>
  <si>
    <t>English for MICE Industries (EWT Groups)  ·  Course Code: 6335417</t>
  </si>
  <si>
    <t>Academic Year 2026, Semester 1  ·  Class Day: Thursday  ·  Schedule: Thu 8:30-12:30, Room 143  ·  Instructor: Ma. Cristina Julaton</t>
  </si>
  <si>
    <t>09 Jul</t>
  </si>
  <si>
    <t>16 Jul</t>
  </si>
  <si>
    <t>23 Jul</t>
  </si>
  <si>
    <t>30 Jul</t>
  </si>
  <si>
    <t>06 Aug</t>
  </si>
  <si>
    <t>13 Aug</t>
  </si>
  <si>
    <t>20 Aug</t>
  </si>
  <si>
    <t>27 Aug</t>
  </si>
  <si>
    <t>10 Sep</t>
  </si>
  <si>
    <t>17 Sep</t>
  </si>
  <si>
    <t>24 Sep</t>
  </si>
  <si>
    <t>01 Oct</t>
  </si>
  <si>
    <t>08 Oct</t>
  </si>
  <si>
    <t>15 Oct</t>
  </si>
  <si>
    <t>22 Oct</t>
  </si>
  <si>
    <t>6812226120</t>
  </si>
  <si>
    <t>Ms. Pitchsinee Samdaeng</t>
  </si>
  <si>
    <t>6815105109</t>
  </si>
  <si>
    <t>Mr. Nattawut Inkhong</t>
  </si>
  <si>
    <t>6815105127</t>
  </si>
  <si>
    <t>Ms. Wararat Thongbeang</t>
  </si>
  <si>
    <t>6815105135</t>
  </si>
  <si>
    <t>Ms. Sirima Moratstian</t>
  </si>
  <si>
    <t>6815105139</t>
  </si>
  <si>
    <t>Mr. Aphisit Ngankhaeng</t>
  </si>
  <si>
    <t>6815105145</t>
  </si>
  <si>
    <t>Mr. Asron Che-ubon</t>
  </si>
  <si>
    <t>6815105147</t>
  </si>
  <si>
    <t>Ms. Hussana Wangmuang</t>
  </si>
  <si>
    <t>6615105102</t>
  </si>
  <si>
    <t>Ms. Ketsara Napalat</t>
  </si>
  <si>
    <t>6815105103</t>
  </si>
  <si>
    <t>Ms. Jirattikarn Bornamron</t>
  </si>
  <si>
    <t>6815105144</t>
  </si>
  <si>
    <t>Ms. Atsamaporn Bornamron</t>
  </si>
  <si>
    <t>P</t>
  </si>
  <si>
    <t>U9</t>
  </si>
  <si>
    <t>A</t>
  </si>
  <si>
    <t>Nickname</t>
  </si>
  <si>
    <t>Namwan</t>
  </si>
  <si>
    <t>Kubro</t>
  </si>
  <si>
    <t>Mint</t>
  </si>
  <si>
    <t>Amira</t>
  </si>
  <si>
    <t>Fasol</t>
  </si>
  <si>
    <t>Title</t>
  </si>
  <si>
    <t>Muh</t>
  </si>
  <si>
    <t>Kamint</t>
  </si>
  <si>
    <t>Pang</t>
  </si>
  <si>
    <t>Bie</t>
  </si>
  <si>
    <t>Ya</t>
  </si>
  <si>
    <t>Book</t>
  </si>
  <si>
    <t>Bangfat</t>
  </si>
  <si>
    <t>Sunny</t>
  </si>
  <si>
    <t>Fah</t>
  </si>
  <si>
    <t>Tatar</t>
  </si>
  <si>
    <t>Nas</t>
  </si>
  <si>
    <t>Namtarn</t>
  </si>
  <si>
    <t>Noey</t>
  </si>
  <si>
    <t>Smile</t>
  </si>
  <si>
    <t>Nicha</t>
  </si>
  <si>
    <t>Feeno</t>
  </si>
  <si>
    <t>Hada</t>
  </si>
  <si>
    <t>Tangme</t>
  </si>
  <si>
    <t>Nice</t>
  </si>
  <si>
    <t>Peach</t>
  </si>
  <si>
    <t>Dawood</t>
  </si>
  <si>
    <t>Film</t>
  </si>
  <si>
    <t>Sea</t>
  </si>
  <si>
    <t>Tonkhoaw</t>
  </si>
  <si>
    <t>Crepe</t>
  </si>
  <si>
    <t>Joke</t>
  </si>
  <si>
    <t>Sara</t>
  </si>
  <si>
    <t>Sprite</t>
  </si>
  <si>
    <t>Orange</t>
  </si>
  <si>
    <t>Lan</t>
  </si>
  <si>
    <t>Peem</t>
  </si>
  <si>
    <t>E</t>
  </si>
  <si>
    <t>Noonan</t>
  </si>
  <si>
    <t>Sign</t>
  </si>
  <si>
    <t>Meen</t>
  </si>
  <si>
    <t>Yah</t>
  </si>
  <si>
    <t>Mameaw</t>
  </si>
  <si>
    <t>Neeya</t>
  </si>
  <si>
    <t>Nook</t>
  </si>
  <si>
    <t>Ton</t>
  </si>
  <si>
    <t>Baitong</t>
  </si>
  <si>
    <t>Wa</t>
  </si>
  <si>
    <t>Nat</t>
  </si>
  <si>
    <t>Jena</t>
  </si>
  <si>
    <t>Sikin</t>
  </si>
  <si>
    <t>Da</t>
  </si>
  <si>
    <t>Be</t>
  </si>
  <si>
    <t>Bee</t>
  </si>
  <si>
    <t>Patty</t>
  </si>
  <si>
    <t>Sanya</t>
  </si>
  <si>
    <t>Fadear</t>
  </si>
  <si>
    <t>Nadear</t>
  </si>
  <si>
    <t>Mareeya</t>
  </si>
  <si>
    <t>Rung</t>
  </si>
  <si>
    <t>Russanee</t>
  </si>
  <si>
    <t>Mena</t>
  </si>
  <si>
    <t>Punch</t>
  </si>
  <si>
    <t>Na</t>
  </si>
  <si>
    <t>Nut</t>
  </si>
  <si>
    <t>Sman</t>
  </si>
  <si>
    <t>Ice</t>
  </si>
  <si>
    <t>Bike</t>
  </si>
  <si>
    <t>Aum</t>
  </si>
  <si>
    <t>Orratai</t>
  </si>
  <si>
    <t>Ali</t>
  </si>
  <si>
    <t>Pancake</t>
  </si>
  <si>
    <t>Arnan</t>
  </si>
  <si>
    <t>Score
/30</t>
  </si>
  <si>
    <t>MIDTERM SPEAKING TEST  (20%)</t>
  </si>
  <si>
    <t>Cheer</t>
  </si>
  <si>
    <t>Anda</t>
  </si>
  <si>
    <t>Diya</t>
  </si>
  <si>
    <t>Dream</t>
  </si>
  <si>
    <t>Mild</t>
  </si>
  <si>
    <t>Toey</t>
  </si>
  <si>
    <t>Kim</t>
  </si>
  <si>
    <t>Klang Film</t>
  </si>
  <si>
    <t>Gift</t>
  </si>
  <si>
    <t>Palm</t>
  </si>
  <si>
    <t>Thomas</t>
  </si>
  <si>
    <t>Asron</t>
  </si>
  <si>
    <t>Husna</t>
  </si>
  <si>
    <t>Alwa</t>
  </si>
  <si>
    <t>Nina</t>
  </si>
  <si>
    <t>Guitar</t>
  </si>
  <si>
    <t>Bam</t>
  </si>
  <si>
    <t>Som</t>
  </si>
  <si>
    <t>Lookyee</t>
  </si>
  <si>
    <t>Beam</t>
  </si>
  <si>
    <t>Aing</t>
  </si>
  <si>
    <t>Sunwa</t>
  </si>
  <si>
    <t>May</t>
  </si>
  <si>
    <t>Smind</t>
  </si>
  <si>
    <t>Asama</t>
  </si>
  <si>
    <t>ME</t>
  </si>
  <si>
    <t>NC</t>
  </si>
  <si>
    <t>FCP</t>
  </si>
  <si>
    <t>Score
/50</t>
  </si>
  <si>
    <t>U10</t>
  </si>
  <si>
    <t>U8</t>
  </si>
  <si>
    <t>FDO</t>
  </si>
  <si>
    <t>MST</t>
  </si>
  <si>
    <t>U7</t>
  </si>
  <si>
    <t>SLFST</t>
  </si>
  <si>
    <t>U5</t>
  </si>
  <si>
    <t>U4</t>
  </si>
  <si>
    <t>U3</t>
  </si>
  <si>
    <t>U2</t>
  </si>
  <si>
    <t>U1</t>
  </si>
  <si>
    <t>U6</t>
  </si>
  <si>
    <t>HOL</t>
  </si>
  <si>
    <t>U6-S10</t>
  </si>
  <si>
    <t>U3-VOC</t>
  </si>
  <si>
    <t>VOCABULARY &amp; LISTENING QUIZZES AND ASSIGNMENTS  (15%)</t>
  </si>
  <si>
    <t>Dollar</t>
  </si>
  <si>
    <t>U3-REF</t>
  </si>
  <si>
    <t>ACT</t>
  </si>
  <si>
    <t>U78</t>
  </si>
  <si>
    <t>U10TN</t>
  </si>
  <si>
    <t>U11</t>
  </si>
  <si>
    <t>U12</t>
  </si>
  <si>
    <t>Peng</t>
  </si>
  <si>
    <t>Ms. Jutamas Noi-sangiam</t>
  </si>
  <si>
    <t>U1CS</t>
  </si>
  <si>
    <t>U10SK</t>
  </si>
  <si>
    <t>U4GR</t>
  </si>
  <si>
    <t>U6-BLK</t>
  </si>
  <si>
    <t>UI3-6</t>
  </si>
  <si>
    <t>Faii</t>
  </si>
  <si>
    <t>Ray</t>
  </si>
  <si>
    <t>Fluke</t>
  </si>
  <si>
    <t>Neeon</t>
  </si>
  <si>
    <t>Prae</t>
  </si>
  <si>
    <t>Plammy</t>
  </si>
  <si>
    <t>Baital</t>
  </si>
  <si>
    <t>Jaypan</t>
  </si>
  <si>
    <t>Namwhan</t>
  </si>
  <si>
    <t>U!46</t>
  </si>
  <si>
    <t>UI</t>
  </si>
  <si>
    <t>Kade</t>
  </si>
  <si>
    <t>GROUP</t>
  </si>
  <si>
    <t>U45</t>
  </si>
  <si>
    <t>FDH</t>
  </si>
  <si>
    <t>VOCABULARY &amp; LISTENING QUIZZES, ASSIGNMENTS  (15%)</t>
  </si>
  <si>
    <t>Aom</t>
  </si>
  <si>
    <t>U!</t>
  </si>
  <si>
    <t>ADTL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</si>
</sst>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1"/>
      <color rgb="FF404040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b/>
      <sz val="9.5"/>
      <color rgb="FF1F3864"/>
      <name val="Calibri"/>
      <family val="2"/>
    </font>
    <font>
      <b/>
      <sz val="8"/>
      <color rgb="FFFFFFFF"/>
      <name val="Calibri"/>
      <family val="2"/>
    </font>
    <font>
      <b/>
      <sz val="8.5"/>
      <color rgb="FF1F1F1F"/>
      <name val="Calibri"/>
      <family val="2"/>
    </font>
    <font>
      <b/>
      <sz val="8"/>
      <color rgb="FF59595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b/>
      <sz val="8"/>
      <name val="Calibri (Body)"/>
    </font>
    <font>
      <sz val="1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AF1FA"/>
      </patternFill>
    </fill>
    <fill>
      <patternFill patternType="solid">
        <fgColor rgb="FFD9D9D9"/>
      </patternFill>
    </fill>
    <fill>
      <patternFill patternType="solid">
        <fgColor rgb="FF2E5395"/>
      </patternFill>
    </fill>
    <fill>
      <patternFill patternType="solid">
        <fgColor rgb="FFD9E2F3"/>
      </patternFill>
    </fill>
    <fill>
      <patternFill patternType="solid">
        <fgColor rgb="FFFFFDE7"/>
      </patternFill>
    </fill>
    <fill>
      <patternFill patternType="solid">
        <fgColor rgb="FFB8860B"/>
      </patternFill>
    </fill>
    <fill>
      <patternFill patternType="solid">
        <fgColor rgb="FFFBE9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9" fontId="7" fillId="1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8" fillId="5" borderId="0" xfId="0" applyFont="1" applyFill="1" applyAlignment="1">
      <alignment horizontal="center" vertical="center" textRotation="90" wrapText="1"/>
    </xf>
    <xf numFmtId="0" fontId="0" fillId="5" borderId="0" xfId="0" applyFill="1"/>
    <xf numFmtId="0" fontId="5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60">
    <dxf>
      <font>
        <i/>
        <color rgb="FF7F7F7F"/>
      </font>
      <fill>
        <patternFill patternType="solid">
          <fgColor rgb="FFEDEDED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595959"/>
      </font>
      <fill>
        <patternFill patternType="solid">
          <fgColor rgb="FFD9D9D9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i/>
        <color rgb="FF7F7F7F"/>
      </font>
      <fill>
        <patternFill patternType="solid">
          <fgColor rgb="FFEDEDED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595959"/>
      </font>
      <fill>
        <patternFill patternType="solid">
          <fgColor rgb="FFD9D9D9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i/>
        <color rgb="FF7F7F7F"/>
      </font>
      <fill>
        <patternFill patternType="solid">
          <fgColor rgb="FFEDEDED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595959"/>
      </font>
      <fill>
        <patternFill patternType="solid">
          <fgColor rgb="FFD9D9D9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i/>
        <color rgb="FF7F7F7F"/>
      </font>
      <fill>
        <patternFill patternType="solid">
          <fgColor rgb="FFEDEDED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C65911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595959"/>
      </font>
      <fill>
        <patternFill patternType="solid">
          <fgColor rgb="FFD9D9D9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1"/>
  <sheetViews>
    <sheetView showGridLines="0" workbookViewId="0">
      <pane xSplit="4" ySplit="14" topLeftCell="AD37" activePane="bottomRight" state="frozen"/>
      <selection pane="topRight"/>
      <selection pane="bottomLeft"/>
      <selection pane="bottomRight" activeCell="I30" sqref="I30"/>
    </sheetView>
  </sheetViews>
  <sheetFormatPr baseColWidth="10" defaultColWidth="8.83203125" defaultRowHeight="15" x14ac:dyDescent="0.2"/>
  <cols>
    <col min="1" max="1" width="4.5" customWidth="1"/>
    <col min="2" max="2" width="13" customWidth="1"/>
    <col min="3" max="3" width="26" customWidth="1"/>
    <col min="4" max="4" width="14.5" customWidth="1"/>
    <col min="5" max="12" width="6.1640625" customWidth="1"/>
    <col min="13" max="13" width="4.5" customWidth="1"/>
    <col min="14" max="20" width="6.1640625" customWidth="1"/>
    <col min="21" max="21" width="4.5" customWidth="1"/>
    <col min="22" max="28" width="9.5" customWidth="1"/>
    <col min="29" max="29" width="20" customWidth="1"/>
    <col min="30" max="30" width="8" customWidth="1"/>
    <col min="31" max="31" width="8.5" customWidth="1"/>
    <col min="32" max="32" width="8" customWidth="1"/>
    <col min="33" max="33" width="8.5" customWidth="1"/>
    <col min="34" max="34" width="8" customWidth="1"/>
    <col min="35" max="35" width="8.5" customWidth="1"/>
    <col min="36" max="36" width="8" customWidth="1"/>
    <col min="37" max="37" width="8.5" customWidth="1"/>
    <col min="38" max="38" width="8" customWidth="1"/>
    <col min="39" max="39" width="8.5" customWidth="1"/>
    <col min="40" max="43" width="11" customWidth="1"/>
  </cols>
  <sheetData>
    <row r="1" spans="1:43" ht="2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</row>
    <row r="2" spans="1:43" x14ac:dyDescent="0.2">
      <c r="A2" s="39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43" x14ac:dyDescent="0.2">
      <c r="A3" s="38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</row>
    <row r="5" spans="1:43" x14ac:dyDescent="0.2">
      <c r="A5" s="40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</row>
    <row r="6" spans="1:43" x14ac:dyDescent="0.2">
      <c r="A6" s="34" t="str">
        <f>"Number of Students:  "&amp;COUNTA(B15:B51)</f>
        <v>Number of Students:  37</v>
      </c>
      <c r="B6" s="31"/>
      <c r="C6" s="31"/>
      <c r="D6" s="31"/>
      <c r="E6" s="31"/>
      <c r="F6" s="31"/>
      <c r="H6" s="34" t="str">
        <f>"Students Passing:  "&amp;COUNTIF(AP15:AP51,"PASS")</f>
        <v>Students Passing:  36</v>
      </c>
      <c r="I6" s="31"/>
      <c r="J6" s="31"/>
      <c r="K6" s="31"/>
      <c r="L6" s="31"/>
      <c r="M6" s="31"/>
      <c r="N6" s="31"/>
      <c r="O6" s="31"/>
      <c r="P6" s="31"/>
    </row>
    <row r="7" spans="1:43" x14ac:dyDescent="0.2">
      <c r="A7" s="34" t="str">
        <f>"Scheduled Class Meetings:  "&amp;15</f>
        <v>Scheduled Class Meetings:  15</v>
      </c>
      <c r="B7" s="31"/>
      <c r="C7" s="31"/>
      <c r="D7" s="31"/>
      <c r="E7" s="31"/>
      <c r="F7" s="31"/>
      <c r="H7" s="34" t="str">
        <f>"Students Not Passing:  "&amp;COUNTIF(AP15:AP51,"NOT PASS")</f>
        <v>Students Not Passing:  1</v>
      </c>
      <c r="I7" s="31"/>
      <c r="J7" s="31"/>
      <c r="K7" s="31"/>
      <c r="L7" s="31"/>
      <c r="M7" s="31"/>
      <c r="N7" s="31"/>
      <c r="O7" s="31"/>
      <c r="P7" s="31"/>
    </row>
    <row r="8" spans="1:43" x14ac:dyDescent="0.2">
      <c r="A8" s="34" t="str">
        <f>"Average Attendance:  "&amp;TEXT(IFERROR(AVERAGE(AA15:AA51),0),"0.0%")</f>
        <v>Average Attendance:  62.4%</v>
      </c>
      <c r="B8" s="31"/>
      <c r="C8" s="31"/>
      <c r="D8" s="31"/>
      <c r="E8" s="31"/>
      <c r="F8" s="31"/>
      <c r="H8" s="34" t="str">
        <f>"Students At/Over 4-Absence Limit:  "&amp;COUNTIF(W15:W51,"&gt;=4")</f>
        <v>Students At/Over 4-Absence Limit:  1</v>
      </c>
      <c r="I8" s="31"/>
      <c r="J8" s="31"/>
      <c r="K8" s="31"/>
      <c r="L8" s="31"/>
      <c r="M8" s="31"/>
      <c r="N8" s="31"/>
      <c r="O8" s="31"/>
      <c r="P8" s="31"/>
    </row>
    <row r="9" spans="1:43" x14ac:dyDescent="0.2">
      <c r="A9" s="34" t="str">
        <f>"Average Speaking Score:  "&amp;"n/a for this course"</f>
        <v>Average Speaking Score:  n/a for this course</v>
      </c>
      <c r="B9" s="31"/>
      <c r="C9" s="31"/>
      <c r="D9" s="31"/>
      <c r="E9" s="31"/>
      <c r="F9" s="31"/>
      <c r="H9" s="34" t="str">
        <f>"Students In Progress (ungraded):  "&amp;COUNTIF(AP15:AP51,"IN PROGRESS")</f>
        <v>Students In Progress (ungraded):  0</v>
      </c>
      <c r="I9" s="31"/>
      <c r="J9" s="31"/>
      <c r="K9" s="31"/>
      <c r="L9" s="31"/>
      <c r="M9" s="31"/>
      <c r="N9" s="31"/>
      <c r="O9" s="31"/>
      <c r="P9" s="31"/>
    </row>
    <row r="10" spans="1:43" x14ac:dyDescent="0.2">
      <c r="A10" s="34" t="str">
        <f>"Average Final Grade:  "&amp;TEXT(IFERROR(AVERAGE(AN15:AN51),0),"0.00")</f>
        <v>Average Final Grade:  62.58</v>
      </c>
      <c r="B10" s="31"/>
      <c r="C10" s="31"/>
      <c r="D10" s="31"/>
      <c r="E10" s="31"/>
      <c r="F10" s="31"/>
      <c r="H10" s="34" t="str">
        <f>"Passing Grade Threshold:  "&amp;50</f>
        <v>Passing Grade Threshold:  50</v>
      </c>
      <c r="I10" s="31"/>
      <c r="J10" s="31"/>
      <c r="K10" s="31"/>
      <c r="L10" s="31"/>
      <c r="M10" s="31"/>
      <c r="N10" s="31"/>
      <c r="O10" s="31"/>
      <c r="P10" s="31"/>
    </row>
    <row r="12" spans="1:43" ht="34" customHeight="1" x14ac:dyDescent="0.2">
      <c r="A12" s="36" t="s">
        <v>4</v>
      </c>
      <c r="B12" s="36" t="s">
        <v>5</v>
      </c>
      <c r="C12" s="36" t="s">
        <v>6</v>
      </c>
      <c r="D12" s="36" t="s">
        <v>365</v>
      </c>
      <c r="E12" s="35" t="s">
        <v>7</v>
      </c>
      <c r="F12" s="31"/>
      <c r="G12" s="31"/>
      <c r="H12" s="31"/>
      <c r="I12" s="31"/>
      <c r="J12" s="31"/>
      <c r="K12" s="31"/>
      <c r="L12" s="31"/>
      <c r="M12" s="32" t="s">
        <v>8</v>
      </c>
      <c r="N12" s="35" t="s">
        <v>9</v>
      </c>
      <c r="O12" s="31"/>
      <c r="P12" s="31"/>
      <c r="Q12" s="31"/>
      <c r="R12" s="31"/>
      <c r="S12" s="31"/>
      <c r="T12" s="31"/>
      <c r="U12" s="32" t="s">
        <v>10</v>
      </c>
      <c r="V12" s="42" t="s">
        <v>11</v>
      </c>
      <c r="W12" s="31"/>
      <c r="X12" s="31"/>
      <c r="Y12" s="31"/>
      <c r="Z12" s="31"/>
      <c r="AA12" s="31"/>
      <c r="AB12" s="31"/>
      <c r="AC12" s="31"/>
      <c r="AD12" s="35" t="s">
        <v>12</v>
      </c>
      <c r="AE12" s="31"/>
      <c r="AF12" s="35" t="s">
        <v>440</v>
      </c>
      <c r="AG12" s="31"/>
      <c r="AH12" s="35" t="s">
        <v>14</v>
      </c>
      <c r="AI12" s="31"/>
      <c r="AJ12" s="35" t="s">
        <v>15</v>
      </c>
      <c r="AK12" s="31"/>
      <c r="AL12" s="35" t="s">
        <v>16</v>
      </c>
      <c r="AM12" s="31"/>
      <c r="AN12" s="41" t="s">
        <v>17</v>
      </c>
      <c r="AO12" s="41"/>
      <c r="AP12" s="41"/>
      <c r="AQ12" s="41"/>
    </row>
    <row r="13" spans="1:43" x14ac:dyDescent="0.2">
      <c r="A13" s="37"/>
      <c r="B13" s="37"/>
      <c r="C13" s="37"/>
      <c r="D13" s="37"/>
      <c r="E13" s="24" t="s">
        <v>472</v>
      </c>
      <c r="F13" s="23" t="s">
        <v>480</v>
      </c>
      <c r="G13" s="23" t="s">
        <v>479</v>
      </c>
      <c r="H13" s="23" t="s">
        <v>478</v>
      </c>
      <c r="I13" s="23" t="s">
        <v>477</v>
      </c>
      <c r="J13" s="23" t="s">
        <v>476</v>
      </c>
      <c r="K13" s="23" t="s">
        <v>475</v>
      </c>
      <c r="L13" s="23" t="s">
        <v>474</v>
      </c>
      <c r="M13" s="32"/>
      <c r="N13" s="24" t="s">
        <v>467</v>
      </c>
      <c r="O13" s="23" t="s">
        <v>473</v>
      </c>
      <c r="P13" s="23" t="s">
        <v>471</v>
      </c>
      <c r="Q13" s="23"/>
      <c r="R13" s="23"/>
      <c r="S13" s="23" t="s">
        <v>468</v>
      </c>
      <c r="T13" s="23"/>
      <c r="U13" s="32"/>
      <c r="V13" s="22"/>
      <c r="W13" s="23"/>
      <c r="X13" s="23"/>
      <c r="Y13" s="23"/>
      <c r="Z13" s="23"/>
      <c r="AA13" s="23"/>
      <c r="AB13" s="23"/>
      <c r="AC13" s="23"/>
      <c r="AD13" s="22"/>
      <c r="AE13" s="23"/>
      <c r="AF13" s="22"/>
      <c r="AG13" s="23"/>
      <c r="AH13" s="22"/>
      <c r="AI13" s="23"/>
      <c r="AJ13" s="22"/>
      <c r="AK13" s="23"/>
      <c r="AL13" s="22"/>
      <c r="AM13" s="23"/>
      <c r="AN13" s="22"/>
      <c r="AO13" s="23"/>
      <c r="AP13" s="23"/>
      <c r="AQ13" s="23"/>
    </row>
    <row r="14" spans="1:43" ht="30" customHeight="1" x14ac:dyDescent="0.2">
      <c r="A14" s="31"/>
      <c r="B14" s="31"/>
      <c r="C14" s="31"/>
      <c r="D14" s="31"/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22</v>
      </c>
      <c r="J14" s="1" t="s">
        <v>23</v>
      </c>
      <c r="K14" s="1" t="s">
        <v>24</v>
      </c>
      <c r="L14" s="1" t="s">
        <v>25</v>
      </c>
      <c r="M14" s="31"/>
      <c r="N14" s="1" t="s">
        <v>26</v>
      </c>
      <c r="O14" s="1" t="s">
        <v>27</v>
      </c>
      <c r="P14" s="1" t="s">
        <v>28</v>
      </c>
      <c r="Q14" s="1" t="s">
        <v>29</v>
      </c>
      <c r="R14" s="1" t="s">
        <v>30</v>
      </c>
      <c r="S14" s="1" t="s">
        <v>31</v>
      </c>
      <c r="T14" s="1" t="s">
        <v>32</v>
      </c>
      <c r="U14" s="31"/>
      <c r="V14" s="2" t="s">
        <v>33</v>
      </c>
      <c r="W14" s="2" t="s">
        <v>34</v>
      </c>
      <c r="X14" s="2" t="s">
        <v>35</v>
      </c>
      <c r="Y14" s="2" t="s">
        <v>36</v>
      </c>
      <c r="Z14" s="2" t="s">
        <v>37</v>
      </c>
      <c r="AA14" s="2" t="s">
        <v>38</v>
      </c>
      <c r="AB14" s="2" t="s">
        <v>39</v>
      </c>
      <c r="AC14" s="2" t="s">
        <v>40</v>
      </c>
      <c r="AD14" s="3" t="s">
        <v>41</v>
      </c>
      <c r="AE14" s="4" t="s">
        <v>42</v>
      </c>
      <c r="AF14" s="3" t="s">
        <v>439</v>
      </c>
      <c r="AG14" s="4" t="s">
        <v>43</v>
      </c>
      <c r="AH14" s="3" t="s">
        <v>41</v>
      </c>
      <c r="AI14" s="4" t="s">
        <v>44</v>
      </c>
      <c r="AJ14" s="3" t="s">
        <v>41</v>
      </c>
      <c r="AK14" s="4" t="s">
        <v>44</v>
      </c>
      <c r="AL14" s="3" t="s">
        <v>41</v>
      </c>
      <c r="AM14" s="4" t="s">
        <v>45</v>
      </c>
      <c r="AN14" s="5" t="s">
        <v>46</v>
      </c>
      <c r="AO14" s="5" t="s">
        <v>47</v>
      </c>
      <c r="AP14" s="5" t="s">
        <v>48</v>
      </c>
      <c r="AQ14" s="29">
        <v>0.3</v>
      </c>
    </row>
    <row r="15" spans="1:43" ht="16" customHeight="1" x14ac:dyDescent="0.2">
      <c r="A15" s="6">
        <v>1</v>
      </c>
      <c r="B15" s="6" t="s">
        <v>49</v>
      </c>
      <c r="C15" s="7" t="s">
        <v>50</v>
      </c>
      <c r="D15" s="6" t="s">
        <v>404</v>
      </c>
      <c r="E15" s="8" t="s">
        <v>362</v>
      </c>
      <c r="F15" s="8" t="s">
        <v>362</v>
      </c>
      <c r="G15" s="8" t="s">
        <v>362</v>
      </c>
      <c r="H15" s="8" t="s">
        <v>467</v>
      </c>
      <c r="I15" s="8" t="s">
        <v>362</v>
      </c>
      <c r="J15" s="8" t="s">
        <v>362</v>
      </c>
      <c r="K15" s="8" t="s">
        <v>467</v>
      </c>
      <c r="L15" s="8" t="s">
        <v>362</v>
      </c>
      <c r="M15" s="33"/>
      <c r="N15" s="8" t="s">
        <v>467</v>
      </c>
      <c r="O15" s="8" t="s">
        <v>362</v>
      </c>
      <c r="P15" s="8" t="s">
        <v>362</v>
      </c>
      <c r="Q15" s="8"/>
      <c r="R15" s="8"/>
      <c r="S15" s="8"/>
      <c r="T15" s="8"/>
      <c r="U15" s="33"/>
      <c r="V15" s="9">
        <f t="shared" ref="V15:V51" si="0">COUNTIF(E15:L15,"P")+COUNTIF(N15:T15,"P")</f>
        <v>8</v>
      </c>
      <c r="W15" s="9">
        <f t="shared" ref="W15:W51" si="1">COUNTIF(E15:L15,"A")+COUNTIF(N15:T15,"A")</f>
        <v>0</v>
      </c>
      <c r="X15" s="9">
        <f t="shared" ref="X15:X51" si="2">COUNTIF(E15:L15,"E")+COUNTIF(N15:T15,"E")</f>
        <v>0</v>
      </c>
      <c r="Y15" s="9">
        <f t="shared" ref="Y15:Y51" si="3">COUNTIF(E15:L15,"NC")+COUNTIF(N15:T15,"NC")</f>
        <v>3</v>
      </c>
      <c r="Z15" s="9">
        <f t="shared" ref="Z15:Z51" si="4">15-Y15</f>
        <v>12</v>
      </c>
      <c r="AA15" s="10">
        <f t="shared" ref="AA15:AA51" si="5">IF(Z15=0,"",(V15+X15)/Z15)</f>
        <v>0.66666666666666663</v>
      </c>
      <c r="AB15" s="11">
        <f t="shared" ref="AB15:AB51" si="6">IF(AA15="","",AA15*10)</f>
        <v>6.6666666666666661</v>
      </c>
      <c r="AC15" s="12" t="str">
        <f t="shared" ref="AC15:AC51" si="7">IF(W15&gt;4,"EXCEEDED ABSENCE LIMIT",IF(W15=4,"MAXIMUM ABSENCES REACHED",IF(W15=3,"WARNING: 3 absences","OK")))</f>
        <v>OK</v>
      </c>
      <c r="AD15" s="8">
        <v>100</v>
      </c>
      <c r="AE15" s="13">
        <f t="shared" ref="AE15:AE51" si="8">IF(AD15="","",AD15/100*10)</f>
        <v>10</v>
      </c>
      <c r="AF15" s="8">
        <v>25</v>
      </c>
      <c r="AG15" s="13">
        <f>IF(AF15="","",AF15/30*20)</f>
        <v>16.666666666666668</v>
      </c>
      <c r="AH15" s="8">
        <v>100</v>
      </c>
      <c r="AI15" s="13">
        <f t="shared" ref="AI15:AI51" si="9">IF(AH15="","",AH15/100*15)</f>
        <v>15</v>
      </c>
      <c r="AJ15" s="8">
        <v>100</v>
      </c>
      <c r="AK15" s="13">
        <f t="shared" ref="AK15:AK51" si="10">IF(AJ15="","",AJ15/100*15)</f>
        <v>15</v>
      </c>
      <c r="AL15" s="8"/>
      <c r="AM15" s="13" t="str">
        <f t="shared" ref="AM15:AM51" si="11">IF(AL15="","",AL15/100*30)</f>
        <v/>
      </c>
      <c r="AN15" s="14">
        <f>SUM(AB15,AE15,AG15,AI15,AK15,AM15)</f>
        <v>63.333333333333329</v>
      </c>
      <c r="AO15" s="15" t="str">
        <f t="shared" ref="AO15:AO51" si="12">IF(AN15=0,"—",IF(AN15&gt;=80,"A",IF(AN15&gt;=75,"B+",IF(AN15&gt;=70,"B",IF(AN15&gt;=65,"C+",IF(AN15&gt;=60,"C",IF(AN15&gt;=55,"D+",IF(AN15&gt;=50,"D","E/F"))))))))</f>
        <v>C</v>
      </c>
      <c r="AP15" s="15" t="str">
        <f t="shared" ref="AP15:AP51" si="13">IF(AN15=0,"IN PROGRESS",IF(AN15&gt;=50,"PASS","NOT PASS"))</f>
        <v>PASS</v>
      </c>
      <c r="AQ15" s="28">
        <f>AN15*0.3</f>
        <v>18.999999999999996</v>
      </c>
    </row>
    <row r="16" spans="1:43" ht="16" customHeight="1" x14ac:dyDescent="0.2">
      <c r="A16" s="6">
        <v>2</v>
      </c>
      <c r="B16" s="6" t="s">
        <v>51</v>
      </c>
      <c r="C16" s="7" t="s">
        <v>52</v>
      </c>
      <c r="D16" s="6" t="s">
        <v>405</v>
      </c>
      <c r="E16" s="8" t="s">
        <v>362</v>
      </c>
      <c r="F16" s="8" t="s">
        <v>362</v>
      </c>
      <c r="G16" s="8" t="s">
        <v>362</v>
      </c>
      <c r="H16" s="8" t="s">
        <v>467</v>
      </c>
      <c r="I16" s="8" t="s">
        <v>362</v>
      </c>
      <c r="J16" s="8" t="s">
        <v>362</v>
      </c>
      <c r="K16" s="8" t="s">
        <v>467</v>
      </c>
      <c r="L16" s="8" t="s">
        <v>362</v>
      </c>
      <c r="M16" s="33"/>
      <c r="N16" s="8" t="s">
        <v>467</v>
      </c>
      <c r="O16" s="8" t="s">
        <v>362</v>
      </c>
      <c r="P16" s="8" t="s">
        <v>362</v>
      </c>
      <c r="Q16" s="8"/>
      <c r="R16" s="8"/>
      <c r="S16" s="8"/>
      <c r="T16" s="8"/>
      <c r="U16" s="33"/>
      <c r="V16" s="9">
        <f t="shared" si="0"/>
        <v>8</v>
      </c>
      <c r="W16" s="9">
        <f t="shared" si="1"/>
        <v>0</v>
      </c>
      <c r="X16" s="9">
        <f t="shared" si="2"/>
        <v>0</v>
      </c>
      <c r="Y16" s="9">
        <f t="shared" si="3"/>
        <v>3</v>
      </c>
      <c r="Z16" s="9">
        <f t="shared" si="4"/>
        <v>12</v>
      </c>
      <c r="AA16" s="10">
        <f t="shared" si="5"/>
        <v>0.66666666666666663</v>
      </c>
      <c r="AB16" s="11">
        <f t="shared" si="6"/>
        <v>6.6666666666666661</v>
      </c>
      <c r="AC16" s="12" t="str">
        <f t="shared" si="7"/>
        <v>OK</v>
      </c>
      <c r="AD16" s="8">
        <v>100</v>
      </c>
      <c r="AE16" s="13">
        <f t="shared" si="8"/>
        <v>10</v>
      </c>
      <c r="AF16" s="8">
        <v>26</v>
      </c>
      <c r="AG16" s="13">
        <f t="shared" ref="AG16:AG51" si="14">IF(AF16="","",AF16/30*20)</f>
        <v>17.333333333333336</v>
      </c>
      <c r="AH16" s="8">
        <v>100</v>
      </c>
      <c r="AI16" s="13">
        <f t="shared" si="9"/>
        <v>15</v>
      </c>
      <c r="AJ16" s="8">
        <v>100</v>
      </c>
      <c r="AK16" s="13">
        <f t="shared" si="10"/>
        <v>15</v>
      </c>
      <c r="AL16" s="8"/>
      <c r="AM16" s="13" t="str">
        <f t="shared" si="11"/>
        <v/>
      </c>
      <c r="AN16" s="14">
        <f t="shared" ref="AN16:AN51" si="15">SUM(AB16,AE16,AG16,AI16,AK16,AM16)</f>
        <v>64</v>
      </c>
      <c r="AO16" s="15" t="str">
        <f t="shared" si="12"/>
        <v>C</v>
      </c>
      <c r="AP16" s="15" t="str">
        <f t="shared" si="13"/>
        <v>PASS</v>
      </c>
      <c r="AQ16" s="28">
        <f t="shared" ref="AQ16:AQ51" si="16">AN16*0.3</f>
        <v>19.2</v>
      </c>
    </row>
    <row r="17" spans="1:43" ht="16" customHeight="1" x14ac:dyDescent="0.2">
      <c r="A17" s="6">
        <v>3</v>
      </c>
      <c r="B17" s="6" t="s">
        <v>53</v>
      </c>
      <c r="C17" s="7" t="s">
        <v>54</v>
      </c>
      <c r="D17" s="6" t="s">
        <v>406</v>
      </c>
      <c r="E17" s="8" t="s">
        <v>362</v>
      </c>
      <c r="F17" s="8" t="s">
        <v>362</v>
      </c>
      <c r="G17" s="8" t="s">
        <v>362</v>
      </c>
      <c r="H17" s="8" t="s">
        <v>467</v>
      </c>
      <c r="I17" s="8" t="s">
        <v>362</v>
      </c>
      <c r="J17" s="8" t="s">
        <v>362</v>
      </c>
      <c r="K17" s="8" t="s">
        <v>467</v>
      </c>
      <c r="L17" s="8" t="s">
        <v>362</v>
      </c>
      <c r="M17" s="33"/>
      <c r="N17" s="8" t="s">
        <v>467</v>
      </c>
      <c r="O17" s="8" t="s">
        <v>362</v>
      </c>
      <c r="P17" s="8" t="s">
        <v>362</v>
      </c>
      <c r="Q17" s="8"/>
      <c r="R17" s="8"/>
      <c r="S17" s="8"/>
      <c r="T17" s="8"/>
      <c r="U17" s="33"/>
      <c r="V17" s="9">
        <f t="shared" si="0"/>
        <v>8</v>
      </c>
      <c r="W17" s="9">
        <f t="shared" si="1"/>
        <v>0</v>
      </c>
      <c r="X17" s="9">
        <f t="shared" si="2"/>
        <v>0</v>
      </c>
      <c r="Y17" s="9">
        <f t="shared" si="3"/>
        <v>3</v>
      </c>
      <c r="Z17" s="9">
        <f t="shared" si="4"/>
        <v>12</v>
      </c>
      <c r="AA17" s="10">
        <f t="shared" si="5"/>
        <v>0.66666666666666663</v>
      </c>
      <c r="AB17" s="11">
        <f t="shared" si="6"/>
        <v>6.6666666666666661</v>
      </c>
      <c r="AC17" s="12" t="str">
        <f t="shared" si="7"/>
        <v>OK</v>
      </c>
      <c r="AD17" s="8">
        <v>100</v>
      </c>
      <c r="AE17" s="13">
        <f t="shared" si="8"/>
        <v>10</v>
      </c>
      <c r="AF17" s="8">
        <v>25</v>
      </c>
      <c r="AG17" s="13">
        <f t="shared" si="14"/>
        <v>16.666666666666668</v>
      </c>
      <c r="AH17" s="8">
        <v>100</v>
      </c>
      <c r="AI17" s="13">
        <f t="shared" si="9"/>
        <v>15</v>
      </c>
      <c r="AJ17" s="8">
        <v>100</v>
      </c>
      <c r="AK17" s="13">
        <f t="shared" si="10"/>
        <v>15</v>
      </c>
      <c r="AL17" s="8"/>
      <c r="AM17" s="13" t="str">
        <f t="shared" si="11"/>
        <v/>
      </c>
      <c r="AN17" s="14">
        <f t="shared" si="15"/>
        <v>63.333333333333329</v>
      </c>
      <c r="AO17" s="15" t="str">
        <f t="shared" si="12"/>
        <v>C</v>
      </c>
      <c r="AP17" s="15" t="str">
        <f t="shared" si="13"/>
        <v>PASS</v>
      </c>
      <c r="AQ17" s="28">
        <f t="shared" si="16"/>
        <v>18.999999999999996</v>
      </c>
    </row>
    <row r="18" spans="1:43" ht="16" customHeight="1" x14ac:dyDescent="0.2">
      <c r="A18" s="6">
        <v>4</v>
      </c>
      <c r="B18" s="6" t="s">
        <v>55</v>
      </c>
      <c r="C18" s="7" t="s">
        <v>56</v>
      </c>
      <c r="D18" s="6" t="s">
        <v>407</v>
      </c>
      <c r="E18" s="8" t="s">
        <v>362</v>
      </c>
      <c r="F18" s="8" t="s">
        <v>362</v>
      </c>
      <c r="G18" s="8" t="s">
        <v>362</v>
      </c>
      <c r="H18" s="8" t="s">
        <v>467</v>
      </c>
      <c r="I18" s="8" t="s">
        <v>362</v>
      </c>
      <c r="J18" s="8" t="s">
        <v>362</v>
      </c>
      <c r="K18" s="8" t="s">
        <v>467</v>
      </c>
      <c r="L18" s="8" t="s">
        <v>362</v>
      </c>
      <c r="M18" s="33"/>
      <c r="N18" s="8" t="s">
        <v>467</v>
      </c>
      <c r="O18" s="8" t="s">
        <v>362</v>
      </c>
      <c r="P18" s="8" t="s">
        <v>362</v>
      </c>
      <c r="Q18" s="8"/>
      <c r="R18" s="8"/>
      <c r="S18" s="8"/>
      <c r="T18" s="8"/>
      <c r="U18" s="33"/>
      <c r="V18" s="9">
        <f t="shared" si="0"/>
        <v>8</v>
      </c>
      <c r="W18" s="9">
        <f t="shared" si="1"/>
        <v>0</v>
      </c>
      <c r="X18" s="9">
        <f t="shared" si="2"/>
        <v>0</v>
      </c>
      <c r="Y18" s="9">
        <f t="shared" si="3"/>
        <v>3</v>
      </c>
      <c r="Z18" s="9">
        <f t="shared" si="4"/>
        <v>12</v>
      </c>
      <c r="AA18" s="10">
        <f t="shared" si="5"/>
        <v>0.66666666666666663</v>
      </c>
      <c r="AB18" s="11">
        <f t="shared" si="6"/>
        <v>6.6666666666666661</v>
      </c>
      <c r="AC18" s="12" t="str">
        <f t="shared" si="7"/>
        <v>OK</v>
      </c>
      <c r="AD18" s="8">
        <v>100</v>
      </c>
      <c r="AE18" s="13">
        <f t="shared" si="8"/>
        <v>10</v>
      </c>
      <c r="AF18" s="8">
        <v>22</v>
      </c>
      <c r="AG18" s="13">
        <f t="shared" si="14"/>
        <v>14.666666666666666</v>
      </c>
      <c r="AH18" s="8">
        <v>100</v>
      </c>
      <c r="AI18" s="13">
        <f t="shared" si="9"/>
        <v>15</v>
      </c>
      <c r="AJ18" s="8">
        <v>100</v>
      </c>
      <c r="AK18" s="13">
        <f t="shared" si="10"/>
        <v>15</v>
      </c>
      <c r="AL18" s="8"/>
      <c r="AM18" s="13" t="str">
        <f t="shared" si="11"/>
        <v/>
      </c>
      <c r="AN18" s="14">
        <f t="shared" si="15"/>
        <v>61.333333333333329</v>
      </c>
      <c r="AO18" s="15" t="str">
        <f t="shared" si="12"/>
        <v>C</v>
      </c>
      <c r="AP18" s="15" t="str">
        <f t="shared" si="13"/>
        <v>PASS</v>
      </c>
      <c r="AQ18" s="28">
        <f t="shared" si="16"/>
        <v>18.399999999999999</v>
      </c>
    </row>
    <row r="19" spans="1:43" ht="16" customHeight="1" x14ac:dyDescent="0.2">
      <c r="A19" s="6">
        <v>5</v>
      </c>
      <c r="B19" s="6" t="s">
        <v>57</v>
      </c>
      <c r="C19" s="7" t="s">
        <v>58</v>
      </c>
      <c r="D19" s="6" t="s">
        <v>408</v>
      </c>
      <c r="E19" s="8" t="s">
        <v>362</v>
      </c>
      <c r="F19" s="8" t="s">
        <v>362</v>
      </c>
      <c r="G19" s="8" t="s">
        <v>362</v>
      </c>
      <c r="H19" s="8" t="s">
        <v>467</v>
      </c>
      <c r="I19" s="8" t="s">
        <v>362</v>
      </c>
      <c r="J19" s="8" t="s">
        <v>362</v>
      </c>
      <c r="K19" s="8" t="s">
        <v>467</v>
      </c>
      <c r="L19" s="8" t="s">
        <v>362</v>
      </c>
      <c r="M19" s="33"/>
      <c r="N19" s="8" t="s">
        <v>467</v>
      </c>
      <c r="O19" s="8" t="s">
        <v>362</v>
      </c>
      <c r="P19" s="8" t="s">
        <v>362</v>
      </c>
      <c r="Q19" s="8"/>
      <c r="R19" s="8"/>
      <c r="S19" s="8"/>
      <c r="T19" s="8"/>
      <c r="U19" s="33"/>
      <c r="V19" s="9">
        <f t="shared" si="0"/>
        <v>8</v>
      </c>
      <c r="W19" s="9">
        <f t="shared" si="1"/>
        <v>0</v>
      </c>
      <c r="X19" s="9">
        <f t="shared" si="2"/>
        <v>0</v>
      </c>
      <c r="Y19" s="9">
        <f t="shared" si="3"/>
        <v>3</v>
      </c>
      <c r="Z19" s="9">
        <f t="shared" si="4"/>
        <v>12</v>
      </c>
      <c r="AA19" s="10">
        <f t="shared" si="5"/>
        <v>0.66666666666666663</v>
      </c>
      <c r="AB19" s="11">
        <f t="shared" si="6"/>
        <v>6.6666666666666661</v>
      </c>
      <c r="AC19" s="12" t="str">
        <f t="shared" si="7"/>
        <v>OK</v>
      </c>
      <c r="AD19" s="8">
        <v>100</v>
      </c>
      <c r="AE19" s="13">
        <f t="shared" si="8"/>
        <v>10</v>
      </c>
      <c r="AF19" s="8">
        <v>20</v>
      </c>
      <c r="AG19" s="13">
        <f t="shared" si="14"/>
        <v>13.333333333333332</v>
      </c>
      <c r="AH19" s="8">
        <v>100</v>
      </c>
      <c r="AI19" s="13">
        <f t="shared" si="9"/>
        <v>15</v>
      </c>
      <c r="AJ19" s="8">
        <v>100</v>
      </c>
      <c r="AK19" s="13">
        <f t="shared" si="10"/>
        <v>15</v>
      </c>
      <c r="AL19" s="8"/>
      <c r="AM19" s="13" t="str">
        <f t="shared" si="11"/>
        <v/>
      </c>
      <c r="AN19" s="14">
        <f t="shared" si="15"/>
        <v>60</v>
      </c>
      <c r="AO19" s="15" t="str">
        <f t="shared" si="12"/>
        <v>C</v>
      </c>
      <c r="AP19" s="15" t="str">
        <f t="shared" si="13"/>
        <v>PASS</v>
      </c>
      <c r="AQ19" s="28">
        <f t="shared" si="16"/>
        <v>18</v>
      </c>
    </row>
    <row r="20" spans="1:43" ht="16" customHeight="1" x14ac:dyDescent="0.2">
      <c r="A20" s="6">
        <v>6</v>
      </c>
      <c r="B20" s="6" t="s">
        <v>59</v>
      </c>
      <c r="C20" s="7" t="s">
        <v>60</v>
      </c>
      <c r="D20" s="6" t="s">
        <v>409</v>
      </c>
      <c r="E20" s="8" t="s">
        <v>362</v>
      </c>
      <c r="F20" s="8" t="s">
        <v>364</v>
      </c>
      <c r="G20" s="8" t="s">
        <v>362</v>
      </c>
      <c r="H20" s="8" t="s">
        <v>467</v>
      </c>
      <c r="I20" s="8" t="s">
        <v>362</v>
      </c>
      <c r="J20" s="8" t="s">
        <v>403</v>
      </c>
      <c r="K20" s="8" t="s">
        <v>467</v>
      </c>
      <c r="L20" s="8" t="s">
        <v>362</v>
      </c>
      <c r="M20" s="33"/>
      <c r="N20" s="8" t="s">
        <v>467</v>
      </c>
      <c r="O20" s="8" t="s">
        <v>362</v>
      </c>
      <c r="P20" s="8" t="s">
        <v>362</v>
      </c>
      <c r="Q20" s="8"/>
      <c r="R20" s="8"/>
      <c r="S20" s="8"/>
      <c r="T20" s="8"/>
      <c r="U20" s="33"/>
      <c r="V20" s="9">
        <f t="shared" si="0"/>
        <v>6</v>
      </c>
      <c r="W20" s="9">
        <f t="shared" si="1"/>
        <v>1</v>
      </c>
      <c r="X20" s="9">
        <f t="shared" si="2"/>
        <v>1</v>
      </c>
      <c r="Y20" s="9">
        <f t="shared" si="3"/>
        <v>3</v>
      </c>
      <c r="Z20" s="9">
        <f t="shared" si="4"/>
        <v>12</v>
      </c>
      <c r="AA20" s="10">
        <f t="shared" si="5"/>
        <v>0.58333333333333337</v>
      </c>
      <c r="AB20" s="11">
        <f t="shared" si="6"/>
        <v>5.8333333333333339</v>
      </c>
      <c r="AC20" s="12" t="str">
        <f t="shared" si="7"/>
        <v>OK</v>
      </c>
      <c r="AD20" s="8">
        <v>100</v>
      </c>
      <c r="AE20" s="13">
        <f t="shared" si="8"/>
        <v>10</v>
      </c>
      <c r="AF20" s="8">
        <v>27</v>
      </c>
      <c r="AG20" s="13">
        <f t="shared" si="14"/>
        <v>18</v>
      </c>
      <c r="AH20" s="8">
        <v>100</v>
      </c>
      <c r="AI20" s="13">
        <f t="shared" si="9"/>
        <v>15</v>
      </c>
      <c r="AJ20" s="8">
        <v>100</v>
      </c>
      <c r="AK20" s="13">
        <f t="shared" si="10"/>
        <v>15</v>
      </c>
      <c r="AL20" s="8"/>
      <c r="AM20" s="13" t="str">
        <f t="shared" si="11"/>
        <v/>
      </c>
      <c r="AN20" s="14">
        <f t="shared" si="15"/>
        <v>63.833333333333336</v>
      </c>
      <c r="AO20" s="15" t="str">
        <f t="shared" si="12"/>
        <v>C</v>
      </c>
      <c r="AP20" s="15" t="str">
        <f t="shared" si="13"/>
        <v>PASS</v>
      </c>
      <c r="AQ20" s="28">
        <f t="shared" si="16"/>
        <v>19.149999999999999</v>
      </c>
    </row>
    <row r="21" spans="1:43" ht="16" customHeight="1" x14ac:dyDescent="0.2">
      <c r="A21" s="6">
        <v>7</v>
      </c>
      <c r="B21" s="6" t="s">
        <v>61</v>
      </c>
      <c r="C21" s="7" t="s">
        <v>62</v>
      </c>
      <c r="D21" s="6" t="s">
        <v>366</v>
      </c>
      <c r="E21" s="8" t="s">
        <v>362</v>
      </c>
      <c r="F21" s="8" t="s">
        <v>362</v>
      </c>
      <c r="G21" s="8" t="s">
        <v>362</v>
      </c>
      <c r="H21" s="8" t="s">
        <v>467</v>
      </c>
      <c r="I21" s="8" t="s">
        <v>362</v>
      </c>
      <c r="J21" s="8" t="s">
        <v>362</v>
      </c>
      <c r="K21" s="8" t="s">
        <v>467</v>
      </c>
      <c r="L21" s="8" t="s">
        <v>362</v>
      </c>
      <c r="M21" s="33"/>
      <c r="N21" s="8" t="s">
        <v>467</v>
      </c>
      <c r="O21" s="8" t="s">
        <v>362</v>
      </c>
      <c r="P21" s="8" t="s">
        <v>362</v>
      </c>
      <c r="Q21" s="8"/>
      <c r="R21" s="8"/>
      <c r="S21" s="8"/>
      <c r="T21" s="8"/>
      <c r="U21" s="33"/>
      <c r="V21" s="9">
        <f t="shared" si="0"/>
        <v>8</v>
      </c>
      <c r="W21" s="9">
        <f t="shared" si="1"/>
        <v>0</v>
      </c>
      <c r="X21" s="9">
        <f t="shared" si="2"/>
        <v>0</v>
      </c>
      <c r="Y21" s="9">
        <f t="shared" si="3"/>
        <v>3</v>
      </c>
      <c r="Z21" s="9">
        <f t="shared" si="4"/>
        <v>12</v>
      </c>
      <c r="AA21" s="10">
        <f t="shared" si="5"/>
        <v>0.66666666666666663</v>
      </c>
      <c r="AB21" s="11">
        <f t="shared" si="6"/>
        <v>6.6666666666666661</v>
      </c>
      <c r="AC21" s="12" t="str">
        <f t="shared" si="7"/>
        <v>OK</v>
      </c>
      <c r="AD21" s="8">
        <v>100</v>
      </c>
      <c r="AE21" s="13">
        <f t="shared" si="8"/>
        <v>10</v>
      </c>
      <c r="AF21" s="8">
        <v>27</v>
      </c>
      <c r="AG21" s="13">
        <f t="shared" si="14"/>
        <v>18</v>
      </c>
      <c r="AH21" s="8">
        <v>100</v>
      </c>
      <c r="AI21" s="13">
        <f t="shared" si="9"/>
        <v>15</v>
      </c>
      <c r="AJ21" s="8">
        <v>100</v>
      </c>
      <c r="AK21" s="13">
        <f t="shared" si="10"/>
        <v>15</v>
      </c>
      <c r="AL21" s="8"/>
      <c r="AM21" s="13" t="str">
        <f t="shared" si="11"/>
        <v/>
      </c>
      <c r="AN21" s="14">
        <f t="shared" si="15"/>
        <v>64.666666666666657</v>
      </c>
      <c r="AO21" s="15" t="str">
        <f t="shared" si="12"/>
        <v>C</v>
      </c>
      <c r="AP21" s="15" t="str">
        <f t="shared" si="13"/>
        <v>PASS</v>
      </c>
      <c r="AQ21" s="28">
        <f t="shared" si="16"/>
        <v>19.399999999999995</v>
      </c>
    </row>
    <row r="22" spans="1:43" ht="16" customHeight="1" x14ac:dyDescent="0.2">
      <c r="A22" s="6">
        <v>8</v>
      </c>
      <c r="B22" s="6" t="s">
        <v>63</v>
      </c>
      <c r="C22" s="7" t="s">
        <v>64</v>
      </c>
      <c r="D22" s="6" t="s">
        <v>410</v>
      </c>
      <c r="E22" s="8" t="s">
        <v>362</v>
      </c>
      <c r="F22" s="8" t="s">
        <v>362</v>
      </c>
      <c r="G22" s="8" t="s">
        <v>362</v>
      </c>
      <c r="H22" s="8" t="s">
        <v>467</v>
      </c>
      <c r="I22" s="8" t="s">
        <v>362</v>
      </c>
      <c r="J22" s="8" t="s">
        <v>362</v>
      </c>
      <c r="K22" s="8" t="s">
        <v>467</v>
      </c>
      <c r="L22" s="8" t="s">
        <v>362</v>
      </c>
      <c r="M22" s="33"/>
      <c r="N22" s="8" t="s">
        <v>467</v>
      </c>
      <c r="O22" s="8" t="s">
        <v>362</v>
      </c>
      <c r="P22" s="8" t="s">
        <v>362</v>
      </c>
      <c r="Q22" s="8"/>
      <c r="R22" s="8"/>
      <c r="S22" s="8"/>
      <c r="T22" s="8"/>
      <c r="U22" s="33"/>
      <c r="V22" s="9">
        <f t="shared" si="0"/>
        <v>8</v>
      </c>
      <c r="W22" s="9">
        <f t="shared" si="1"/>
        <v>0</v>
      </c>
      <c r="X22" s="9">
        <f t="shared" si="2"/>
        <v>0</v>
      </c>
      <c r="Y22" s="9">
        <f t="shared" si="3"/>
        <v>3</v>
      </c>
      <c r="Z22" s="9">
        <f t="shared" si="4"/>
        <v>12</v>
      </c>
      <c r="AA22" s="10">
        <f t="shared" si="5"/>
        <v>0.66666666666666663</v>
      </c>
      <c r="AB22" s="11">
        <f t="shared" si="6"/>
        <v>6.6666666666666661</v>
      </c>
      <c r="AC22" s="12" t="str">
        <f t="shared" si="7"/>
        <v>OK</v>
      </c>
      <c r="AD22" s="8">
        <v>100</v>
      </c>
      <c r="AE22" s="13">
        <f t="shared" si="8"/>
        <v>10</v>
      </c>
      <c r="AF22" s="8">
        <v>26</v>
      </c>
      <c r="AG22" s="13">
        <f t="shared" si="14"/>
        <v>17.333333333333336</v>
      </c>
      <c r="AH22" s="8">
        <v>100</v>
      </c>
      <c r="AI22" s="13">
        <f t="shared" si="9"/>
        <v>15</v>
      </c>
      <c r="AJ22" s="8">
        <v>100</v>
      </c>
      <c r="AK22" s="13">
        <f t="shared" si="10"/>
        <v>15</v>
      </c>
      <c r="AL22" s="8"/>
      <c r="AM22" s="13" t="str">
        <f t="shared" si="11"/>
        <v/>
      </c>
      <c r="AN22" s="14">
        <f t="shared" si="15"/>
        <v>64</v>
      </c>
      <c r="AO22" s="15" t="str">
        <f t="shared" si="12"/>
        <v>C</v>
      </c>
      <c r="AP22" s="15" t="str">
        <f t="shared" si="13"/>
        <v>PASS</v>
      </c>
      <c r="AQ22" s="28">
        <f t="shared" si="16"/>
        <v>19.2</v>
      </c>
    </row>
    <row r="23" spans="1:43" ht="16" customHeight="1" x14ac:dyDescent="0.2">
      <c r="A23" s="6">
        <v>9</v>
      </c>
      <c r="B23" s="6" t="s">
        <v>65</v>
      </c>
      <c r="C23" s="7" t="s">
        <v>66</v>
      </c>
      <c r="D23" s="6" t="s">
        <v>411</v>
      </c>
      <c r="E23" s="8" t="s">
        <v>362</v>
      </c>
      <c r="F23" s="8" t="s">
        <v>362</v>
      </c>
      <c r="G23" s="8" t="s">
        <v>362</v>
      </c>
      <c r="H23" s="8" t="s">
        <v>467</v>
      </c>
      <c r="I23" s="8" t="s">
        <v>362</v>
      </c>
      <c r="J23" s="8" t="s">
        <v>362</v>
      </c>
      <c r="K23" s="8" t="s">
        <v>467</v>
      </c>
      <c r="L23" s="8" t="s">
        <v>362</v>
      </c>
      <c r="M23" s="33"/>
      <c r="N23" s="8" t="s">
        <v>467</v>
      </c>
      <c r="O23" s="8" t="s">
        <v>362</v>
      </c>
      <c r="P23" s="8" t="s">
        <v>364</v>
      </c>
      <c r="Q23" s="8"/>
      <c r="R23" s="8"/>
      <c r="S23" s="8"/>
      <c r="T23" s="8"/>
      <c r="U23" s="33"/>
      <c r="V23" s="9">
        <f t="shared" si="0"/>
        <v>7</v>
      </c>
      <c r="W23" s="9">
        <f t="shared" si="1"/>
        <v>1</v>
      </c>
      <c r="X23" s="9">
        <f t="shared" si="2"/>
        <v>0</v>
      </c>
      <c r="Y23" s="9">
        <f t="shared" si="3"/>
        <v>3</v>
      </c>
      <c r="Z23" s="9">
        <f t="shared" si="4"/>
        <v>12</v>
      </c>
      <c r="AA23" s="10">
        <f t="shared" si="5"/>
        <v>0.58333333333333337</v>
      </c>
      <c r="AB23" s="11">
        <f t="shared" si="6"/>
        <v>5.8333333333333339</v>
      </c>
      <c r="AC23" s="12" t="str">
        <f t="shared" si="7"/>
        <v>OK</v>
      </c>
      <c r="AD23" s="8">
        <v>100</v>
      </c>
      <c r="AE23" s="13">
        <f t="shared" si="8"/>
        <v>10</v>
      </c>
      <c r="AF23" s="8">
        <v>26</v>
      </c>
      <c r="AG23" s="13">
        <f t="shared" si="14"/>
        <v>17.333333333333336</v>
      </c>
      <c r="AH23" s="8">
        <v>100</v>
      </c>
      <c r="AI23" s="13">
        <f t="shared" si="9"/>
        <v>15</v>
      </c>
      <c r="AJ23" s="8">
        <v>100</v>
      </c>
      <c r="AK23" s="13">
        <f t="shared" si="10"/>
        <v>15</v>
      </c>
      <c r="AL23" s="8"/>
      <c r="AM23" s="13" t="str">
        <f t="shared" si="11"/>
        <v/>
      </c>
      <c r="AN23" s="14">
        <f t="shared" si="15"/>
        <v>63.166666666666671</v>
      </c>
      <c r="AO23" s="15" t="str">
        <f t="shared" si="12"/>
        <v>C</v>
      </c>
      <c r="AP23" s="15" t="str">
        <f t="shared" si="13"/>
        <v>PASS</v>
      </c>
      <c r="AQ23" s="28">
        <f t="shared" si="16"/>
        <v>18.95</v>
      </c>
    </row>
    <row r="24" spans="1:43" ht="16" customHeight="1" x14ac:dyDescent="0.2">
      <c r="A24" s="6">
        <v>10</v>
      </c>
      <c r="B24" s="6" t="s">
        <v>67</v>
      </c>
      <c r="C24" s="7" t="s">
        <v>68</v>
      </c>
      <c r="D24" s="6" t="s">
        <v>412</v>
      </c>
      <c r="E24" s="8" t="s">
        <v>362</v>
      </c>
      <c r="F24" s="8" t="s">
        <v>362</v>
      </c>
      <c r="G24" s="8" t="s">
        <v>362</v>
      </c>
      <c r="H24" s="8" t="s">
        <v>467</v>
      </c>
      <c r="I24" s="8" t="s">
        <v>362</v>
      </c>
      <c r="J24" s="8" t="s">
        <v>403</v>
      </c>
      <c r="K24" s="8" t="s">
        <v>467</v>
      </c>
      <c r="L24" s="8" t="s">
        <v>362</v>
      </c>
      <c r="M24" s="33"/>
      <c r="N24" s="8" t="s">
        <v>467</v>
      </c>
      <c r="O24" s="8" t="s">
        <v>362</v>
      </c>
      <c r="P24" s="8" t="s">
        <v>362</v>
      </c>
      <c r="Q24" s="8"/>
      <c r="R24" s="8"/>
      <c r="S24" s="8"/>
      <c r="T24" s="8"/>
      <c r="U24" s="33"/>
      <c r="V24" s="9">
        <f t="shared" si="0"/>
        <v>7</v>
      </c>
      <c r="W24" s="9">
        <f t="shared" si="1"/>
        <v>0</v>
      </c>
      <c r="X24" s="9">
        <f t="shared" si="2"/>
        <v>1</v>
      </c>
      <c r="Y24" s="9">
        <f t="shared" si="3"/>
        <v>3</v>
      </c>
      <c r="Z24" s="9">
        <f t="shared" si="4"/>
        <v>12</v>
      </c>
      <c r="AA24" s="10">
        <f t="shared" si="5"/>
        <v>0.66666666666666663</v>
      </c>
      <c r="AB24" s="11">
        <f t="shared" si="6"/>
        <v>6.6666666666666661</v>
      </c>
      <c r="AC24" s="12" t="str">
        <f t="shared" si="7"/>
        <v>OK</v>
      </c>
      <c r="AD24" s="8">
        <v>100</v>
      </c>
      <c r="AE24" s="13">
        <f t="shared" si="8"/>
        <v>10</v>
      </c>
      <c r="AF24" s="8">
        <v>26</v>
      </c>
      <c r="AG24" s="13">
        <f t="shared" si="14"/>
        <v>17.333333333333336</v>
      </c>
      <c r="AH24" s="8">
        <v>100</v>
      </c>
      <c r="AI24" s="13">
        <f t="shared" si="9"/>
        <v>15</v>
      </c>
      <c r="AJ24" s="8">
        <v>100</v>
      </c>
      <c r="AK24" s="13">
        <f t="shared" si="10"/>
        <v>15</v>
      </c>
      <c r="AL24" s="8"/>
      <c r="AM24" s="13" t="str">
        <f t="shared" si="11"/>
        <v/>
      </c>
      <c r="AN24" s="14">
        <f t="shared" si="15"/>
        <v>64</v>
      </c>
      <c r="AO24" s="15" t="str">
        <f t="shared" si="12"/>
        <v>C</v>
      </c>
      <c r="AP24" s="15" t="str">
        <f t="shared" si="13"/>
        <v>PASS</v>
      </c>
      <c r="AQ24" s="28">
        <f t="shared" si="16"/>
        <v>19.2</v>
      </c>
    </row>
    <row r="25" spans="1:43" ht="16" customHeight="1" x14ac:dyDescent="0.2">
      <c r="A25" s="6">
        <v>11</v>
      </c>
      <c r="B25" s="6" t="s">
        <v>69</v>
      </c>
      <c r="C25" s="7" t="s">
        <v>70</v>
      </c>
      <c r="D25" s="6" t="s">
        <v>413</v>
      </c>
      <c r="E25" s="8" t="s">
        <v>362</v>
      </c>
      <c r="F25" s="8" t="s">
        <v>364</v>
      </c>
      <c r="G25" s="8" t="s">
        <v>362</v>
      </c>
      <c r="H25" s="8" t="s">
        <v>467</v>
      </c>
      <c r="I25" s="8" t="s">
        <v>362</v>
      </c>
      <c r="J25" s="8" t="s">
        <v>403</v>
      </c>
      <c r="K25" s="8" t="s">
        <v>467</v>
      </c>
      <c r="L25" s="8" t="s">
        <v>362</v>
      </c>
      <c r="M25" s="33"/>
      <c r="N25" s="8" t="s">
        <v>467</v>
      </c>
      <c r="O25" s="8" t="s">
        <v>403</v>
      </c>
      <c r="P25" s="8" t="s">
        <v>362</v>
      </c>
      <c r="Q25" s="8"/>
      <c r="R25" s="8"/>
      <c r="S25" s="8"/>
      <c r="T25" s="8"/>
      <c r="U25" s="33"/>
      <c r="V25" s="9">
        <f t="shared" si="0"/>
        <v>5</v>
      </c>
      <c r="W25" s="9">
        <f t="shared" si="1"/>
        <v>1</v>
      </c>
      <c r="X25" s="9">
        <f t="shared" si="2"/>
        <v>2</v>
      </c>
      <c r="Y25" s="9">
        <f t="shared" si="3"/>
        <v>3</v>
      </c>
      <c r="Z25" s="9">
        <f t="shared" si="4"/>
        <v>12</v>
      </c>
      <c r="AA25" s="10">
        <f t="shared" si="5"/>
        <v>0.58333333333333337</v>
      </c>
      <c r="AB25" s="11">
        <f t="shared" si="6"/>
        <v>5.8333333333333339</v>
      </c>
      <c r="AC25" s="12" t="str">
        <f t="shared" si="7"/>
        <v>OK</v>
      </c>
      <c r="AD25" s="8">
        <v>100</v>
      </c>
      <c r="AE25" s="13">
        <f t="shared" si="8"/>
        <v>10</v>
      </c>
      <c r="AF25" s="8">
        <v>23</v>
      </c>
      <c r="AG25" s="13">
        <f t="shared" si="14"/>
        <v>15.333333333333334</v>
      </c>
      <c r="AH25" s="8">
        <v>100</v>
      </c>
      <c r="AI25" s="13">
        <f t="shared" si="9"/>
        <v>15</v>
      </c>
      <c r="AJ25" s="8">
        <v>100</v>
      </c>
      <c r="AK25" s="13">
        <f t="shared" si="10"/>
        <v>15</v>
      </c>
      <c r="AL25" s="8"/>
      <c r="AM25" s="13" t="str">
        <f t="shared" si="11"/>
        <v/>
      </c>
      <c r="AN25" s="14">
        <f t="shared" si="15"/>
        <v>61.166666666666671</v>
      </c>
      <c r="AO25" s="15" t="str">
        <f t="shared" si="12"/>
        <v>C</v>
      </c>
      <c r="AP25" s="15" t="str">
        <f t="shared" si="13"/>
        <v>PASS</v>
      </c>
      <c r="AQ25" s="28">
        <f t="shared" si="16"/>
        <v>18.350000000000001</v>
      </c>
    </row>
    <row r="26" spans="1:43" ht="16" customHeight="1" x14ac:dyDescent="0.2">
      <c r="A26" s="6">
        <v>12</v>
      </c>
      <c r="B26" s="6" t="s">
        <v>71</v>
      </c>
      <c r="C26" s="7" t="s">
        <v>72</v>
      </c>
      <c r="D26" s="6" t="s">
        <v>414</v>
      </c>
      <c r="E26" s="8" t="s">
        <v>362</v>
      </c>
      <c r="F26" s="8" t="s">
        <v>362</v>
      </c>
      <c r="G26" s="8" t="s">
        <v>362</v>
      </c>
      <c r="H26" s="8" t="s">
        <v>467</v>
      </c>
      <c r="I26" s="8" t="s">
        <v>362</v>
      </c>
      <c r="J26" s="8" t="s">
        <v>362</v>
      </c>
      <c r="K26" s="8" t="s">
        <v>467</v>
      </c>
      <c r="L26" s="8" t="s">
        <v>362</v>
      </c>
      <c r="M26" s="33"/>
      <c r="N26" s="8" t="s">
        <v>467</v>
      </c>
      <c r="O26" s="8" t="s">
        <v>362</v>
      </c>
      <c r="P26" s="8" t="s">
        <v>362</v>
      </c>
      <c r="Q26" s="8"/>
      <c r="R26" s="8"/>
      <c r="S26" s="8"/>
      <c r="T26" s="8"/>
      <c r="U26" s="33"/>
      <c r="V26" s="9">
        <f t="shared" si="0"/>
        <v>8</v>
      </c>
      <c r="W26" s="9">
        <f t="shared" si="1"/>
        <v>0</v>
      </c>
      <c r="X26" s="9">
        <f t="shared" si="2"/>
        <v>0</v>
      </c>
      <c r="Y26" s="9">
        <f t="shared" si="3"/>
        <v>3</v>
      </c>
      <c r="Z26" s="9">
        <f t="shared" si="4"/>
        <v>12</v>
      </c>
      <c r="AA26" s="10">
        <f t="shared" si="5"/>
        <v>0.66666666666666663</v>
      </c>
      <c r="AB26" s="11">
        <f t="shared" si="6"/>
        <v>6.6666666666666661</v>
      </c>
      <c r="AC26" s="12" t="str">
        <f t="shared" si="7"/>
        <v>OK</v>
      </c>
      <c r="AD26" s="8">
        <v>100</v>
      </c>
      <c r="AE26" s="13">
        <f t="shared" si="8"/>
        <v>10</v>
      </c>
      <c r="AF26" s="8">
        <v>23</v>
      </c>
      <c r="AG26" s="13">
        <f t="shared" si="14"/>
        <v>15.333333333333334</v>
      </c>
      <c r="AH26" s="8">
        <v>100</v>
      </c>
      <c r="AI26" s="13">
        <f t="shared" si="9"/>
        <v>15</v>
      </c>
      <c r="AJ26" s="8">
        <v>100</v>
      </c>
      <c r="AK26" s="13">
        <f t="shared" si="10"/>
        <v>15</v>
      </c>
      <c r="AL26" s="8"/>
      <c r="AM26" s="13" t="str">
        <f t="shared" si="11"/>
        <v/>
      </c>
      <c r="AN26" s="14">
        <f t="shared" si="15"/>
        <v>62</v>
      </c>
      <c r="AO26" s="15" t="str">
        <f t="shared" si="12"/>
        <v>C</v>
      </c>
      <c r="AP26" s="15" t="str">
        <f t="shared" si="13"/>
        <v>PASS</v>
      </c>
      <c r="AQ26" s="28">
        <f t="shared" si="16"/>
        <v>18.599999999999998</v>
      </c>
    </row>
    <row r="27" spans="1:43" ht="16" customHeight="1" x14ac:dyDescent="0.2">
      <c r="A27" s="6">
        <v>13</v>
      </c>
      <c r="B27" s="6" t="s">
        <v>73</v>
      </c>
      <c r="C27" s="7" t="s">
        <v>74</v>
      </c>
      <c r="D27" s="6" t="s">
        <v>382</v>
      </c>
      <c r="E27" s="8" t="s">
        <v>362</v>
      </c>
      <c r="F27" s="8" t="s">
        <v>362</v>
      </c>
      <c r="G27" s="8" t="s">
        <v>362</v>
      </c>
      <c r="H27" s="8" t="s">
        <v>467</v>
      </c>
      <c r="I27" s="8" t="s">
        <v>362</v>
      </c>
      <c r="J27" s="8" t="s">
        <v>362</v>
      </c>
      <c r="K27" s="8" t="s">
        <v>467</v>
      </c>
      <c r="L27" s="8" t="s">
        <v>362</v>
      </c>
      <c r="M27" s="33"/>
      <c r="N27" s="8" t="s">
        <v>467</v>
      </c>
      <c r="O27" s="8" t="s">
        <v>362</v>
      </c>
      <c r="P27" s="8" t="s">
        <v>362</v>
      </c>
      <c r="Q27" s="8"/>
      <c r="R27" s="8"/>
      <c r="S27" s="8"/>
      <c r="T27" s="8"/>
      <c r="U27" s="33"/>
      <c r="V27" s="9">
        <f t="shared" si="0"/>
        <v>8</v>
      </c>
      <c r="W27" s="9">
        <f t="shared" si="1"/>
        <v>0</v>
      </c>
      <c r="X27" s="9">
        <f t="shared" si="2"/>
        <v>0</v>
      </c>
      <c r="Y27" s="9">
        <f t="shared" si="3"/>
        <v>3</v>
      </c>
      <c r="Z27" s="9">
        <f t="shared" si="4"/>
        <v>12</v>
      </c>
      <c r="AA27" s="10">
        <f t="shared" si="5"/>
        <v>0.66666666666666663</v>
      </c>
      <c r="AB27" s="11">
        <f t="shared" si="6"/>
        <v>6.6666666666666661</v>
      </c>
      <c r="AC27" s="12" t="str">
        <f t="shared" si="7"/>
        <v>OK</v>
      </c>
      <c r="AD27" s="8">
        <v>100</v>
      </c>
      <c r="AE27" s="13">
        <f t="shared" si="8"/>
        <v>10</v>
      </c>
      <c r="AF27" s="8">
        <v>30</v>
      </c>
      <c r="AG27" s="13">
        <f t="shared" si="14"/>
        <v>20</v>
      </c>
      <c r="AH27" s="8">
        <v>100</v>
      </c>
      <c r="AI27" s="13">
        <f t="shared" si="9"/>
        <v>15</v>
      </c>
      <c r="AJ27" s="8">
        <v>100</v>
      </c>
      <c r="AK27" s="13">
        <f t="shared" si="10"/>
        <v>15</v>
      </c>
      <c r="AL27" s="8"/>
      <c r="AM27" s="13" t="str">
        <f t="shared" si="11"/>
        <v/>
      </c>
      <c r="AN27" s="14">
        <f t="shared" si="15"/>
        <v>66.666666666666657</v>
      </c>
      <c r="AO27" s="15" t="str">
        <f t="shared" si="12"/>
        <v>C+</v>
      </c>
      <c r="AP27" s="15" t="str">
        <f t="shared" si="13"/>
        <v>PASS</v>
      </c>
      <c r="AQ27" s="28">
        <f t="shared" si="16"/>
        <v>19.999999999999996</v>
      </c>
    </row>
    <row r="28" spans="1:43" ht="16" customHeight="1" x14ac:dyDescent="0.2">
      <c r="A28" s="6">
        <v>14</v>
      </c>
      <c r="B28" s="6" t="s">
        <v>75</v>
      </c>
      <c r="C28" s="7" t="s">
        <v>76</v>
      </c>
      <c r="D28" s="6" t="s">
        <v>415</v>
      </c>
      <c r="E28" s="8" t="s">
        <v>362</v>
      </c>
      <c r="F28" s="8" t="s">
        <v>362</v>
      </c>
      <c r="G28" s="8" t="s">
        <v>362</v>
      </c>
      <c r="H28" s="8" t="s">
        <v>467</v>
      </c>
      <c r="I28" s="8" t="s">
        <v>362</v>
      </c>
      <c r="J28" s="8" t="s">
        <v>362</v>
      </c>
      <c r="K28" s="8" t="s">
        <v>467</v>
      </c>
      <c r="L28" s="8" t="s">
        <v>362</v>
      </c>
      <c r="M28" s="33"/>
      <c r="N28" s="8" t="s">
        <v>467</v>
      </c>
      <c r="O28" s="8" t="s">
        <v>362</v>
      </c>
      <c r="P28" s="8" t="s">
        <v>362</v>
      </c>
      <c r="Q28" s="8"/>
      <c r="R28" s="8"/>
      <c r="S28" s="8"/>
      <c r="T28" s="8"/>
      <c r="U28" s="33"/>
      <c r="V28" s="9">
        <f t="shared" si="0"/>
        <v>8</v>
      </c>
      <c r="W28" s="9">
        <f t="shared" si="1"/>
        <v>0</v>
      </c>
      <c r="X28" s="9">
        <f t="shared" si="2"/>
        <v>0</v>
      </c>
      <c r="Y28" s="9">
        <f t="shared" si="3"/>
        <v>3</v>
      </c>
      <c r="Z28" s="9">
        <f t="shared" si="4"/>
        <v>12</v>
      </c>
      <c r="AA28" s="10">
        <f t="shared" si="5"/>
        <v>0.66666666666666663</v>
      </c>
      <c r="AB28" s="11">
        <f t="shared" si="6"/>
        <v>6.6666666666666661</v>
      </c>
      <c r="AC28" s="12" t="str">
        <f t="shared" si="7"/>
        <v>OK</v>
      </c>
      <c r="AD28" s="8">
        <v>100</v>
      </c>
      <c r="AE28" s="13">
        <f t="shared" si="8"/>
        <v>10</v>
      </c>
      <c r="AF28" s="8">
        <v>30</v>
      </c>
      <c r="AG28" s="13">
        <f t="shared" si="14"/>
        <v>20</v>
      </c>
      <c r="AH28" s="8">
        <v>100</v>
      </c>
      <c r="AI28" s="13">
        <f t="shared" si="9"/>
        <v>15</v>
      </c>
      <c r="AJ28" s="8">
        <v>100</v>
      </c>
      <c r="AK28" s="13">
        <f t="shared" si="10"/>
        <v>15</v>
      </c>
      <c r="AL28" s="8"/>
      <c r="AM28" s="13" t="str">
        <f t="shared" si="11"/>
        <v/>
      </c>
      <c r="AN28" s="14">
        <f t="shared" si="15"/>
        <v>66.666666666666657</v>
      </c>
      <c r="AO28" s="15" t="str">
        <f t="shared" si="12"/>
        <v>C+</v>
      </c>
      <c r="AP28" s="15" t="str">
        <f t="shared" si="13"/>
        <v>PASS</v>
      </c>
      <c r="AQ28" s="28">
        <f t="shared" si="16"/>
        <v>19.999999999999996</v>
      </c>
    </row>
    <row r="29" spans="1:43" ht="16" customHeight="1" x14ac:dyDescent="0.2">
      <c r="A29" s="6">
        <v>15</v>
      </c>
      <c r="B29" s="6" t="s">
        <v>77</v>
      </c>
      <c r="C29" s="7" t="s">
        <v>78</v>
      </c>
      <c r="D29" s="6" t="s">
        <v>416</v>
      </c>
      <c r="E29" s="8" t="s">
        <v>362</v>
      </c>
      <c r="F29" s="8" t="s">
        <v>362</v>
      </c>
      <c r="G29" s="8" t="s">
        <v>362</v>
      </c>
      <c r="H29" s="8" t="s">
        <v>467</v>
      </c>
      <c r="I29" s="8" t="s">
        <v>362</v>
      </c>
      <c r="J29" s="8" t="s">
        <v>362</v>
      </c>
      <c r="K29" s="8" t="s">
        <v>467</v>
      </c>
      <c r="L29" s="8" t="s">
        <v>362</v>
      </c>
      <c r="M29" s="33"/>
      <c r="N29" s="8" t="s">
        <v>467</v>
      </c>
      <c r="O29" s="8" t="s">
        <v>362</v>
      </c>
      <c r="P29" s="8" t="s">
        <v>362</v>
      </c>
      <c r="Q29" s="8"/>
      <c r="R29" s="8"/>
      <c r="S29" s="8"/>
      <c r="T29" s="8"/>
      <c r="U29" s="33"/>
      <c r="V29" s="9">
        <f t="shared" si="0"/>
        <v>8</v>
      </c>
      <c r="W29" s="9">
        <f t="shared" si="1"/>
        <v>0</v>
      </c>
      <c r="X29" s="9">
        <f t="shared" si="2"/>
        <v>0</v>
      </c>
      <c r="Y29" s="9">
        <f t="shared" si="3"/>
        <v>3</v>
      </c>
      <c r="Z29" s="9">
        <f t="shared" si="4"/>
        <v>12</v>
      </c>
      <c r="AA29" s="10">
        <f t="shared" si="5"/>
        <v>0.66666666666666663</v>
      </c>
      <c r="AB29" s="11">
        <f t="shared" si="6"/>
        <v>6.6666666666666661</v>
      </c>
      <c r="AC29" s="12" t="str">
        <f t="shared" si="7"/>
        <v>OK</v>
      </c>
      <c r="AD29" s="8">
        <v>100</v>
      </c>
      <c r="AE29" s="13">
        <f t="shared" si="8"/>
        <v>10</v>
      </c>
      <c r="AF29" s="8">
        <v>27</v>
      </c>
      <c r="AG29" s="13">
        <f t="shared" si="14"/>
        <v>18</v>
      </c>
      <c r="AH29" s="8">
        <v>100</v>
      </c>
      <c r="AI29" s="13">
        <f t="shared" si="9"/>
        <v>15</v>
      </c>
      <c r="AJ29" s="8">
        <v>100</v>
      </c>
      <c r="AK29" s="13">
        <f t="shared" si="10"/>
        <v>15</v>
      </c>
      <c r="AL29" s="8"/>
      <c r="AM29" s="13" t="str">
        <f t="shared" si="11"/>
        <v/>
      </c>
      <c r="AN29" s="14">
        <f t="shared" si="15"/>
        <v>64.666666666666657</v>
      </c>
      <c r="AO29" s="15" t="str">
        <f t="shared" si="12"/>
        <v>C</v>
      </c>
      <c r="AP29" s="15" t="str">
        <f t="shared" si="13"/>
        <v>PASS</v>
      </c>
      <c r="AQ29" s="28">
        <f t="shared" si="16"/>
        <v>19.399999999999995</v>
      </c>
    </row>
    <row r="30" spans="1:43" ht="16" customHeight="1" x14ac:dyDescent="0.2">
      <c r="A30" s="6">
        <v>16</v>
      </c>
      <c r="B30" s="6" t="s">
        <v>79</v>
      </c>
      <c r="C30" s="7" t="s">
        <v>80</v>
      </c>
      <c r="D30" s="6" t="s">
        <v>417</v>
      </c>
      <c r="E30" s="8" t="s">
        <v>362</v>
      </c>
      <c r="F30" s="8" t="s">
        <v>362</v>
      </c>
      <c r="G30" s="8" t="s">
        <v>362</v>
      </c>
      <c r="H30" s="8" t="s">
        <v>467</v>
      </c>
      <c r="I30" s="8" t="s">
        <v>364</v>
      </c>
      <c r="J30" s="8" t="s">
        <v>362</v>
      </c>
      <c r="K30" s="8" t="s">
        <v>467</v>
      </c>
      <c r="L30" s="8" t="s">
        <v>364</v>
      </c>
      <c r="M30" s="33"/>
      <c r="N30" s="8" t="s">
        <v>467</v>
      </c>
      <c r="O30" s="8" t="s">
        <v>362</v>
      </c>
      <c r="P30" s="8" t="s">
        <v>362</v>
      </c>
      <c r="Q30" s="8"/>
      <c r="R30" s="8"/>
      <c r="S30" s="8"/>
      <c r="T30" s="8"/>
      <c r="U30" s="33"/>
      <c r="V30" s="9">
        <f t="shared" si="0"/>
        <v>6</v>
      </c>
      <c r="W30" s="9">
        <f t="shared" si="1"/>
        <v>2</v>
      </c>
      <c r="X30" s="9">
        <f t="shared" si="2"/>
        <v>0</v>
      </c>
      <c r="Y30" s="9">
        <f t="shared" si="3"/>
        <v>3</v>
      </c>
      <c r="Z30" s="9">
        <f t="shared" si="4"/>
        <v>12</v>
      </c>
      <c r="AA30" s="10">
        <f t="shared" si="5"/>
        <v>0.5</v>
      </c>
      <c r="AB30" s="11">
        <f t="shared" si="6"/>
        <v>5</v>
      </c>
      <c r="AC30" s="12" t="str">
        <f t="shared" si="7"/>
        <v>OK</v>
      </c>
      <c r="AD30" s="8">
        <v>100</v>
      </c>
      <c r="AE30" s="13">
        <f t="shared" si="8"/>
        <v>10</v>
      </c>
      <c r="AF30" s="8">
        <v>23</v>
      </c>
      <c r="AG30" s="13">
        <f t="shared" si="14"/>
        <v>15.333333333333334</v>
      </c>
      <c r="AH30" s="8">
        <v>100</v>
      </c>
      <c r="AI30" s="13">
        <f t="shared" si="9"/>
        <v>15</v>
      </c>
      <c r="AJ30" s="8">
        <v>100</v>
      </c>
      <c r="AK30" s="13">
        <f t="shared" si="10"/>
        <v>15</v>
      </c>
      <c r="AL30" s="8"/>
      <c r="AM30" s="13" t="str">
        <f t="shared" si="11"/>
        <v/>
      </c>
      <c r="AN30" s="14">
        <f t="shared" si="15"/>
        <v>60.333333333333336</v>
      </c>
      <c r="AO30" s="15" t="str">
        <f t="shared" si="12"/>
        <v>C</v>
      </c>
      <c r="AP30" s="15" t="str">
        <f t="shared" si="13"/>
        <v>PASS</v>
      </c>
      <c r="AQ30" s="28">
        <f t="shared" si="16"/>
        <v>18.100000000000001</v>
      </c>
    </row>
    <row r="31" spans="1:43" ht="16" customHeight="1" x14ac:dyDescent="0.2">
      <c r="A31" s="6">
        <v>17</v>
      </c>
      <c r="B31" s="6" t="s">
        <v>81</v>
      </c>
      <c r="C31" s="7" t="s">
        <v>82</v>
      </c>
      <c r="D31" s="6" t="s">
        <v>418</v>
      </c>
      <c r="E31" s="8" t="s">
        <v>362</v>
      </c>
      <c r="F31" s="8" t="s">
        <v>362</v>
      </c>
      <c r="G31" s="8" t="s">
        <v>362</v>
      </c>
      <c r="H31" s="8" t="s">
        <v>467</v>
      </c>
      <c r="I31" s="8" t="s">
        <v>362</v>
      </c>
      <c r="J31" s="8" t="s">
        <v>362</v>
      </c>
      <c r="K31" s="8" t="s">
        <v>467</v>
      </c>
      <c r="L31" s="8" t="s">
        <v>362</v>
      </c>
      <c r="M31" s="33"/>
      <c r="N31" s="8" t="s">
        <v>467</v>
      </c>
      <c r="O31" s="8" t="s">
        <v>362</v>
      </c>
      <c r="P31" s="8" t="s">
        <v>362</v>
      </c>
      <c r="Q31" s="8"/>
      <c r="R31" s="8"/>
      <c r="S31" s="8"/>
      <c r="T31" s="8"/>
      <c r="U31" s="33"/>
      <c r="V31" s="9">
        <f t="shared" si="0"/>
        <v>8</v>
      </c>
      <c r="W31" s="9">
        <f t="shared" si="1"/>
        <v>0</v>
      </c>
      <c r="X31" s="9">
        <f t="shared" si="2"/>
        <v>0</v>
      </c>
      <c r="Y31" s="9">
        <f t="shared" si="3"/>
        <v>3</v>
      </c>
      <c r="Z31" s="9">
        <f t="shared" si="4"/>
        <v>12</v>
      </c>
      <c r="AA31" s="10">
        <f t="shared" si="5"/>
        <v>0.66666666666666663</v>
      </c>
      <c r="AB31" s="11">
        <f t="shared" si="6"/>
        <v>6.6666666666666661</v>
      </c>
      <c r="AC31" s="12" t="str">
        <f t="shared" si="7"/>
        <v>OK</v>
      </c>
      <c r="AD31" s="8">
        <v>100</v>
      </c>
      <c r="AE31" s="13">
        <f t="shared" si="8"/>
        <v>10</v>
      </c>
      <c r="AF31" s="8">
        <v>21</v>
      </c>
      <c r="AG31" s="13">
        <f t="shared" si="14"/>
        <v>14</v>
      </c>
      <c r="AH31" s="8">
        <v>100</v>
      </c>
      <c r="AI31" s="13">
        <f t="shared" si="9"/>
        <v>15</v>
      </c>
      <c r="AJ31" s="8">
        <v>100</v>
      </c>
      <c r="AK31" s="13">
        <f t="shared" si="10"/>
        <v>15</v>
      </c>
      <c r="AL31" s="8"/>
      <c r="AM31" s="13" t="str">
        <f t="shared" si="11"/>
        <v/>
      </c>
      <c r="AN31" s="14">
        <f t="shared" si="15"/>
        <v>60.666666666666664</v>
      </c>
      <c r="AO31" s="15" t="str">
        <f t="shared" si="12"/>
        <v>C</v>
      </c>
      <c r="AP31" s="15" t="str">
        <f t="shared" si="13"/>
        <v>PASS</v>
      </c>
      <c r="AQ31" s="28">
        <f t="shared" si="16"/>
        <v>18.2</v>
      </c>
    </row>
    <row r="32" spans="1:43" ht="16" customHeight="1" x14ac:dyDescent="0.2">
      <c r="A32" s="6">
        <v>18</v>
      </c>
      <c r="B32" s="6" t="s">
        <v>83</v>
      </c>
      <c r="C32" s="7" t="s">
        <v>84</v>
      </c>
      <c r="D32" s="6" t="s">
        <v>419</v>
      </c>
      <c r="E32" s="8" t="s">
        <v>362</v>
      </c>
      <c r="F32" s="8" t="s">
        <v>364</v>
      </c>
      <c r="G32" s="8" t="s">
        <v>362</v>
      </c>
      <c r="H32" s="8" t="s">
        <v>467</v>
      </c>
      <c r="I32" s="8" t="s">
        <v>362</v>
      </c>
      <c r="J32" s="8" t="s">
        <v>362</v>
      </c>
      <c r="K32" s="8" t="s">
        <v>467</v>
      </c>
      <c r="L32" s="8" t="s">
        <v>364</v>
      </c>
      <c r="M32" s="33"/>
      <c r="N32" s="8" t="s">
        <v>467</v>
      </c>
      <c r="O32" s="8" t="s">
        <v>362</v>
      </c>
      <c r="P32" s="8" t="s">
        <v>362</v>
      </c>
      <c r="Q32" s="8"/>
      <c r="R32" s="8"/>
      <c r="S32" s="8"/>
      <c r="T32" s="8"/>
      <c r="U32" s="33"/>
      <c r="V32" s="9">
        <f t="shared" si="0"/>
        <v>6</v>
      </c>
      <c r="W32" s="9">
        <f t="shared" si="1"/>
        <v>2</v>
      </c>
      <c r="X32" s="9">
        <f t="shared" si="2"/>
        <v>0</v>
      </c>
      <c r="Y32" s="9">
        <f t="shared" si="3"/>
        <v>3</v>
      </c>
      <c r="Z32" s="9">
        <f t="shared" si="4"/>
        <v>12</v>
      </c>
      <c r="AA32" s="10">
        <f t="shared" si="5"/>
        <v>0.5</v>
      </c>
      <c r="AB32" s="11">
        <f t="shared" si="6"/>
        <v>5</v>
      </c>
      <c r="AC32" s="12" t="str">
        <f t="shared" si="7"/>
        <v>OK</v>
      </c>
      <c r="AD32" s="8">
        <v>100</v>
      </c>
      <c r="AE32" s="13">
        <f t="shared" si="8"/>
        <v>10</v>
      </c>
      <c r="AF32" s="8">
        <v>23</v>
      </c>
      <c r="AG32" s="13">
        <f t="shared" si="14"/>
        <v>15.333333333333334</v>
      </c>
      <c r="AH32" s="8">
        <v>100</v>
      </c>
      <c r="AI32" s="13">
        <f t="shared" si="9"/>
        <v>15</v>
      </c>
      <c r="AJ32" s="8">
        <v>100</v>
      </c>
      <c r="AK32" s="13">
        <f t="shared" si="10"/>
        <v>15</v>
      </c>
      <c r="AL32" s="8"/>
      <c r="AM32" s="13" t="str">
        <f t="shared" si="11"/>
        <v/>
      </c>
      <c r="AN32" s="14">
        <f t="shared" si="15"/>
        <v>60.333333333333336</v>
      </c>
      <c r="AO32" s="15" t="str">
        <f t="shared" si="12"/>
        <v>C</v>
      </c>
      <c r="AP32" s="15" t="str">
        <f t="shared" si="13"/>
        <v>PASS</v>
      </c>
      <c r="AQ32" s="28">
        <f t="shared" si="16"/>
        <v>18.100000000000001</v>
      </c>
    </row>
    <row r="33" spans="1:43" ht="16" customHeight="1" x14ac:dyDescent="0.2">
      <c r="A33" s="6">
        <v>19</v>
      </c>
      <c r="B33" s="6" t="s">
        <v>85</v>
      </c>
      <c r="C33" s="7" t="s">
        <v>86</v>
      </c>
      <c r="D33" s="6" t="s">
        <v>420</v>
      </c>
      <c r="E33" s="8" t="s">
        <v>362</v>
      </c>
      <c r="F33" s="8" t="s">
        <v>362</v>
      </c>
      <c r="G33" s="8" t="s">
        <v>362</v>
      </c>
      <c r="H33" s="8" t="s">
        <v>467</v>
      </c>
      <c r="I33" s="8" t="s">
        <v>362</v>
      </c>
      <c r="J33" s="8" t="s">
        <v>403</v>
      </c>
      <c r="K33" s="8" t="s">
        <v>467</v>
      </c>
      <c r="L33" s="8" t="s">
        <v>362</v>
      </c>
      <c r="M33" s="33"/>
      <c r="N33" s="8" t="s">
        <v>467</v>
      </c>
      <c r="O33" s="8" t="s">
        <v>403</v>
      </c>
      <c r="P33" s="8" t="s">
        <v>362</v>
      </c>
      <c r="Q33" s="8"/>
      <c r="R33" s="8"/>
      <c r="S33" s="8"/>
      <c r="T33" s="8"/>
      <c r="U33" s="33"/>
      <c r="V33" s="9">
        <f t="shared" si="0"/>
        <v>6</v>
      </c>
      <c r="W33" s="9">
        <f t="shared" si="1"/>
        <v>0</v>
      </c>
      <c r="X33" s="9">
        <f t="shared" si="2"/>
        <v>2</v>
      </c>
      <c r="Y33" s="9">
        <f t="shared" si="3"/>
        <v>3</v>
      </c>
      <c r="Z33" s="9">
        <f t="shared" si="4"/>
        <v>12</v>
      </c>
      <c r="AA33" s="10">
        <f t="shared" si="5"/>
        <v>0.66666666666666663</v>
      </c>
      <c r="AB33" s="11">
        <f t="shared" si="6"/>
        <v>6.6666666666666661</v>
      </c>
      <c r="AC33" s="12" t="str">
        <f t="shared" si="7"/>
        <v>OK</v>
      </c>
      <c r="AD33" s="8">
        <v>100</v>
      </c>
      <c r="AE33" s="13">
        <f t="shared" si="8"/>
        <v>10</v>
      </c>
      <c r="AF33" s="8">
        <v>26</v>
      </c>
      <c r="AG33" s="13">
        <f t="shared" si="14"/>
        <v>17.333333333333336</v>
      </c>
      <c r="AH33" s="8">
        <v>100</v>
      </c>
      <c r="AI33" s="13">
        <f t="shared" si="9"/>
        <v>15</v>
      </c>
      <c r="AJ33" s="8">
        <v>100</v>
      </c>
      <c r="AK33" s="13">
        <f t="shared" si="10"/>
        <v>15</v>
      </c>
      <c r="AL33" s="8"/>
      <c r="AM33" s="13" t="str">
        <f t="shared" si="11"/>
        <v/>
      </c>
      <c r="AN33" s="14">
        <f t="shared" si="15"/>
        <v>64</v>
      </c>
      <c r="AO33" s="15" t="str">
        <f t="shared" si="12"/>
        <v>C</v>
      </c>
      <c r="AP33" s="15" t="str">
        <f t="shared" si="13"/>
        <v>PASS</v>
      </c>
      <c r="AQ33" s="28">
        <f t="shared" si="16"/>
        <v>19.2</v>
      </c>
    </row>
    <row r="34" spans="1:43" ht="16" customHeight="1" x14ac:dyDescent="0.2">
      <c r="A34" s="6">
        <v>20</v>
      </c>
      <c r="B34" s="6" t="s">
        <v>87</v>
      </c>
      <c r="C34" s="7" t="s">
        <v>88</v>
      </c>
      <c r="D34" s="6" t="s">
        <v>421</v>
      </c>
      <c r="E34" s="8" t="s">
        <v>362</v>
      </c>
      <c r="F34" s="8" t="s">
        <v>364</v>
      </c>
      <c r="G34" s="8" t="s">
        <v>362</v>
      </c>
      <c r="H34" s="8" t="s">
        <v>467</v>
      </c>
      <c r="I34" s="8" t="s">
        <v>362</v>
      </c>
      <c r="J34" s="8" t="s">
        <v>362</v>
      </c>
      <c r="K34" s="8" t="s">
        <v>467</v>
      </c>
      <c r="L34" s="8" t="s">
        <v>362</v>
      </c>
      <c r="M34" s="33"/>
      <c r="N34" s="8" t="s">
        <v>467</v>
      </c>
      <c r="O34" s="8" t="s">
        <v>362</v>
      </c>
      <c r="P34" s="8" t="s">
        <v>362</v>
      </c>
      <c r="Q34" s="8"/>
      <c r="R34" s="8"/>
      <c r="S34" s="8"/>
      <c r="T34" s="8"/>
      <c r="U34" s="33"/>
      <c r="V34" s="9">
        <f t="shared" si="0"/>
        <v>7</v>
      </c>
      <c r="W34" s="9">
        <f t="shared" si="1"/>
        <v>1</v>
      </c>
      <c r="X34" s="9">
        <f t="shared" si="2"/>
        <v>0</v>
      </c>
      <c r="Y34" s="9">
        <f t="shared" si="3"/>
        <v>3</v>
      </c>
      <c r="Z34" s="9">
        <f t="shared" si="4"/>
        <v>12</v>
      </c>
      <c r="AA34" s="10">
        <f t="shared" si="5"/>
        <v>0.58333333333333337</v>
      </c>
      <c r="AB34" s="11">
        <f t="shared" si="6"/>
        <v>5.8333333333333339</v>
      </c>
      <c r="AC34" s="12" t="str">
        <f t="shared" si="7"/>
        <v>OK</v>
      </c>
      <c r="AD34" s="8">
        <v>100</v>
      </c>
      <c r="AE34" s="13">
        <f t="shared" si="8"/>
        <v>10</v>
      </c>
      <c r="AF34" s="8">
        <v>24</v>
      </c>
      <c r="AG34" s="13">
        <f t="shared" si="14"/>
        <v>16</v>
      </c>
      <c r="AH34" s="8">
        <v>100</v>
      </c>
      <c r="AI34" s="13">
        <f t="shared" si="9"/>
        <v>15</v>
      </c>
      <c r="AJ34" s="8">
        <v>100</v>
      </c>
      <c r="AK34" s="13">
        <f t="shared" si="10"/>
        <v>15</v>
      </c>
      <c r="AL34" s="8"/>
      <c r="AM34" s="13" t="str">
        <f t="shared" si="11"/>
        <v/>
      </c>
      <c r="AN34" s="14">
        <f t="shared" si="15"/>
        <v>61.833333333333336</v>
      </c>
      <c r="AO34" s="15" t="str">
        <f t="shared" si="12"/>
        <v>C</v>
      </c>
      <c r="AP34" s="15" t="str">
        <f t="shared" si="13"/>
        <v>PASS</v>
      </c>
      <c r="AQ34" s="28">
        <f t="shared" si="16"/>
        <v>18.55</v>
      </c>
    </row>
    <row r="35" spans="1:43" ht="16" customHeight="1" x14ac:dyDescent="0.2">
      <c r="A35" s="6">
        <v>21</v>
      </c>
      <c r="B35" s="6" t="s">
        <v>89</v>
      </c>
      <c r="C35" s="7" t="s">
        <v>90</v>
      </c>
      <c r="D35" s="6" t="s">
        <v>422</v>
      </c>
      <c r="E35" s="8" t="s">
        <v>362</v>
      </c>
      <c r="F35" s="8" t="s">
        <v>362</v>
      </c>
      <c r="G35" s="8" t="s">
        <v>362</v>
      </c>
      <c r="H35" s="8" t="s">
        <v>467</v>
      </c>
      <c r="I35" s="8" t="s">
        <v>362</v>
      </c>
      <c r="J35" s="8" t="s">
        <v>362</v>
      </c>
      <c r="K35" s="8" t="s">
        <v>467</v>
      </c>
      <c r="L35" s="8" t="s">
        <v>362</v>
      </c>
      <c r="M35" s="33"/>
      <c r="N35" s="8" t="s">
        <v>467</v>
      </c>
      <c r="O35" s="8" t="s">
        <v>362</v>
      </c>
      <c r="P35" s="8" t="s">
        <v>362</v>
      </c>
      <c r="Q35" s="8"/>
      <c r="R35" s="8"/>
      <c r="S35" s="8"/>
      <c r="T35" s="8"/>
      <c r="U35" s="33"/>
      <c r="V35" s="9">
        <f t="shared" si="0"/>
        <v>8</v>
      </c>
      <c r="W35" s="9">
        <f t="shared" si="1"/>
        <v>0</v>
      </c>
      <c r="X35" s="9">
        <f t="shared" si="2"/>
        <v>0</v>
      </c>
      <c r="Y35" s="9">
        <f t="shared" si="3"/>
        <v>3</v>
      </c>
      <c r="Z35" s="9">
        <f t="shared" si="4"/>
        <v>12</v>
      </c>
      <c r="AA35" s="10">
        <f t="shared" si="5"/>
        <v>0.66666666666666663</v>
      </c>
      <c r="AB35" s="11">
        <f t="shared" si="6"/>
        <v>6.6666666666666661</v>
      </c>
      <c r="AC35" s="12" t="str">
        <f t="shared" si="7"/>
        <v>OK</v>
      </c>
      <c r="AD35" s="8">
        <v>100</v>
      </c>
      <c r="AE35" s="13">
        <f t="shared" si="8"/>
        <v>10</v>
      </c>
      <c r="AF35" s="8">
        <v>25</v>
      </c>
      <c r="AG35" s="13">
        <f t="shared" si="14"/>
        <v>16.666666666666668</v>
      </c>
      <c r="AH35" s="8">
        <v>100</v>
      </c>
      <c r="AI35" s="13">
        <f t="shared" si="9"/>
        <v>15</v>
      </c>
      <c r="AJ35" s="8">
        <v>100</v>
      </c>
      <c r="AK35" s="13">
        <f t="shared" si="10"/>
        <v>15</v>
      </c>
      <c r="AL35" s="8"/>
      <c r="AM35" s="13" t="str">
        <f t="shared" si="11"/>
        <v/>
      </c>
      <c r="AN35" s="14">
        <f t="shared" si="15"/>
        <v>63.333333333333329</v>
      </c>
      <c r="AO35" s="15" t="str">
        <f t="shared" si="12"/>
        <v>C</v>
      </c>
      <c r="AP35" s="15" t="str">
        <f t="shared" si="13"/>
        <v>PASS</v>
      </c>
      <c r="AQ35" s="28">
        <f t="shared" si="16"/>
        <v>18.999999999999996</v>
      </c>
    </row>
    <row r="36" spans="1:43" ht="16" customHeight="1" x14ac:dyDescent="0.2">
      <c r="A36" s="6">
        <v>22</v>
      </c>
      <c r="B36" s="6" t="s">
        <v>91</v>
      </c>
      <c r="C36" s="7" t="s">
        <v>92</v>
      </c>
      <c r="D36" s="6" t="s">
        <v>423</v>
      </c>
      <c r="E36" s="8" t="s">
        <v>362</v>
      </c>
      <c r="F36" s="8" t="s">
        <v>362</v>
      </c>
      <c r="G36" s="8" t="s">
        <v>362</v>
      </c>
      <c r="H36" s="8" t="s">
        <v>467</v>
      </c>
      <c r="I36" s="8" t="s">
        <v>362</v>
      </c>
      <c r="J36" s="8" t="s">
        <v>364</v>
      </c>
      <c r="K36" s="8" t="s">
        <v>467</v>
      </c>
      <c r="L36" s="8" t="s">
        <v>362</v>
      </c>
      <c r="M36" s="33"/>
      <c r="N36" s="8" t="s">
        <v>467</v>
      </c>
      <c r="O36" s="8" t="s">
        <v>362</v>
      </c>
      <c r="P36" s="8" t="s">
        <v>362</v>
      </c>
      <c r="Q36" s="8"/>
      <c r="R36" s="8"/>
      <c r="S36" s="8"/>
      <c r="T36" s="8"/>
      <c r="U36" s="33"/>
      <c r="V36" s="9">
        <f t="shared" si="0"/>
        <v>7</v>
      </c>
      <c r="W36" s="9">
        <f t="shared" si="1"/>
        <v>1</v>
      </c>
      <c r="X36" s="9">
        <f t="shared" si="2"/>
        <v>0</v>
      </c>
      <c r="Y36" s="9">
        <f t="shared" si="3"/>
        <v>3</v>
      </c>
      <c r="Z36" s="9">
        <f t="shared" si="4"/>
        <v>12</v>
      </c>
      <c r="AA36" s="10">
        <f t="shared" si="5"/>
        <v>0.58333333333333337</v>
      </c>
      <c r="AB36" s="11">
        <f t="shared" si="6"/>
        <v>5.8333333333333339</v>
      </c>
      <c r="AC36" s="12" t="str">
        <f t="shared" si="7"/>
        <v>OK</v>
      </c>
      <c r="AD36" s="8">
        <v>100</v>
      </c>
      <c r="AE36" s="13">
        <f t="shared" si="8"/>
        <v>10</v>
      </c>
      <c r="AF36" s="8">
        <v>23</v>
      </c>
      <c r="AG36" s="13">
        <f t="shared" si="14"/>
        <v>15.333333333333334</v>
      </c>
      <c r="AH36" s="8">
        <v>100</v>
      </c>
      <c r="AI36" s="13">
        <f t="shared" si="9"/>
        <v>15</v>
      </c>
      <c r="AJ36" s="8">
        <v>100</v>
      </c>
      <c r="AK36" s="13">
        <f t="shared" si="10"/>
        <v>15</v>
      </c>
      <c r="AL36" s="8"/>
      <c r="AM36" s="13" t="str">
        <f t="shared" si="11"/>
        <v/>
      </c>
      <c r="AN36" s="14">
        <f t="shared" si="15"/>
        <v>61.166666666666671</v>
      </c>
      <c r="AO36" s="15" t="str">
        <f t="shared" si="12"/>
        <v>C</v>
      </c>
      <c r="AP36" s="15" t="str">
        <f t="shared" si="13"/>
        <v>PASS</v>
      </c>
      <c r="AQ36" s="28">
        <f t="shared" si="16"/>
        <v>18.350000000000001</v>
      </c>
    </row>
    <row r="37" spans="1:43" ht="16" customHeight="1" x14ac:dyDescent="0.2">
      <c r="A37" s="6">
        <v>23</v>
      </c>
      <c r="B37" s="6" t="s">
        <v>93</v>
      </c>
      <c r="C37" s="7" t="s">
        <v>94</v>
      </c>
      <c r="D37" s="6" t="s">
        <v>424</v>
      </c>
      <c r="E37" s="8" t="s">
        <v>362</v>
      </c>
      <c r="F37" s="8" t="s">
        <v>362</v>
      </c>
      <c r="G37" s="8" t="s">
        <v>362</v>
      </c>
      <c r="H37" s="8" t="s">
        <v>467</v>
      </c>
      <c r="I37" s="8" t="s">
        <v>362</v>
      </c>
      <c r="J37" s="8" t="s">
        <v>362</v>
      </c>
      <c r="K37" s="8" t="s">
        <v>467</v>
      </c>
      <c r="L37" s="8" t="s">
        <v>364</v>
      </c>
      <c r="M37" s="33"/>
      <c r="N37" s="8" t="s">
        <v>467</v>
      </c>
      <c r="O37" s="8" t="s">
        <v>403</v>
      </c>
      <c r="P37" s="8" t="s">
        <v>362</v>
      </c>
      <c r="Q37" s="8"/>
      <c r="R37" s="8"/>
      <c r="S37" s="8"/>
      <c r="T37" s="8"/>
      <c r="U37" s="33"/>
      <c r="V37" s="9">
        <f t="shared" si="0"/>
        <v>6</v>
      </c>
      <c r="W37" s="9">
        <f t="shared" si="1"/>
        <v>1</v>
      </c>
      <c r="X37" s="9">
        <f t="shared" si="2"/>
        <v>1</v>
      </c>
      <c r="Y37" s="9">
        <f t="shared" si="3"/>
        <v>3</v>
      </c>
      <c r="Z37" s="9">
        <f t="shared" si="4"/>
        <v>12</v>
      </c>
      <c r="AA37" s="10">
        <f t="shared" si="5"/>
        <v>0.58333333333333337</v>
      </c>
      <c r="AB37" s="11">
        <f t="shared" si="6"/>
        <v>5.8333333333333339</v>
      </c>
      <c r="AC37" s="12" t="str">
        <f t="shared" si="7"/>
        <v>OK</v>
      </c>
      <c r="AD37" s="8">
        <v>100</v>
      </c>
      <c r="AE37" s="13">
        <f t="shared" si="8"/>
        <v>10</v>
      </c>
      <c r="AF37" s="8">
        <v>28</v>
      </c>
      <c r="AG37" s="13">
        <f t="shared" si="14"/>
        <v>18.666666666666668</v>
      </c>
      <c r="AH37" s="8">
        <v>100</v>
      </c>
      <c r="AI37" s="13">
        <f t="shared" si="9"/>
        <v>15</v>
      </c>
      <c r="AJ37" s="8">
        <v>100</v>
      </c>
      <c r="AK37" s="13">
        <f t="shared" si="10"/>
        <v>15</v>
      </c>
      <c r="AL37" s="8"/>
      <c r="AM37" s="13" t="str">
        <f t="shared" si="11"/>
        <v/>
      </c>
      <c r="AN37" s="14">
        <f t="shared" si="15"/>
        <v>64.5</v>
      </c>
      <c r="AO37" s="15" t="str">
        <f t="shared" si="12"/>
        <v>C</v>
      </c>
      <c r="AP37" s="15" t="str">
        <f t="shared" si="13"/>
        <v>PASS</v>
      </c>
      <c r="AQ37" s="28">
        <f t="shared" si="16"/>
        <v>19.349999999999998</v>
      </c>
    </row>
    <row r="38" spans="1:43" ht="16" customHeight="1" x14ac:dyDescent="0.2">
      <c r="A38" s="6">
        <v>24</v>
      </c>
      <c r="B38" s="6" t="s">
        <v>95</v>
      </c>
      <c r="C38" s="7" t="s">
        <v>96</v>
      </c>
      <c r="D38" s="6" t="s">
        <v>425</v>
      </c>
      <c r="E38" s="8" t="s">
        <v>362</v>
      </c>
      <c r="F38" s="8" t="s">
        <v>362</v>
      </c>
      <c r="G38" s="8" t="s">
        <v>362</v>
      </c>
      <c r="H38" s="8" t="s">
        <v>467</v>
      </c>
      <c r="I38" s="8" t="s">
        <v>362</v>
      </c>
      <c r="J38" s="8" t="s">
        <v>362</v>
      </c>
      <c r="K38" s="8" t="s">
        <v>467</v>
      </c>
      <c r="L38" s="8" t="s">
        <v>362</v>
      </c>
      <c r="M38" s="33"/>
      <c r="N38" s="8" t="s">
        <v>467</v>
      </c>
      <c r="O38" s="8" t="s">
        <v>362</v>
      </c>
      <c r="P38" s="8" t="s">
        <v>362</v>
      </c>
      <c r="Q38" s="8"/>
      <c r="R38" s="8"/>
      <c r="S38" s="8"/>
      <c r="T38" s="8"/>
      <c r="U38" s="33"/>
      <c r="V38" s="9">
        <f t="shared" si="0"/>
        <v>8</v>
      </c>
      <c r="W38" s="9">
        <f t="shared" si="1"/>
        <v>0</v>
      </c>
      <c r="X38" s="9">
        <f t="shared" si="2"/>
        <v>0</v>
      </c>
      <c r="Y38" s="9">
        <f t="shared" si="3"/>
        <v>3</v>
      </c>
      <c r="Z38" s="9">
        <f t="shared" si="4"/>
        <v>12</v>
      </c>
      <c r="AA38" s="10">
        <f t="shared" si="5"/>
        <v>0.66666666666666663</v>
      </c>
      <c r="AB38" s="11">
        <f t="shared" si="6"/>
        <v>6.6666666666666661</v>
      </c>
      <c r="AC38" s="12" t="str">
        <f t="shared" si="7"/>
        <v>OK</v>
      </c>
      <c r="AD38" s="8">
        <v>100</v>
      </c>
      <c r="AE38" s="13">
        <f t="shared" si="8"/>
        <v>10</v>
      </c>
      <c r="AF38" s="8">
        <v>27</v>
      </c>
      <c r="AG38" s="13">
        <f t="shared" si="14"/>
        <v>18</v>
      </c>
      <c r="AH38" s="8">
        <v>100</v>
      </c>
      <c r="AI38" s="13">
        <f t="shared" si="9"/>
        <v>15</v>
      </c>
      <c r="AJ38" s="8">
        <v>100</v>
      </c>
      <c r="AK38" s="13">
        <f t="shared" si="10"/>
        <v>15</v>
      </c>
      <c r="AL38" s="8"/>
      <c r="AM38" s="13" t="str">
        <f t="shared" si="11"/>
        <v/>
      </c>
      <c r="AN38" s="14">
        <f t="shared" si="15"/>
        <v>64.666666666666657</v>
      </c>
      <c r="AO38" s="15" t="str">
        <f t="shared" si="12"/>
        <v>C</v>
      </c>
      <c r="AP38" s="15" t="str">
        <f t="shared" si="13"/>
        <v>PASS</v>
      </c>
      <c r="AQ38" s="28">
        <f t="shared" si="16"/>
        <v>19.399999999999995</v>
      </c>
    </row>
    <row r="39" spans="1:43" ht="16" customHeight="1" x14ac:dyDescent="0.2">
      <c r="A39" s="6">
        <v>25</v>
      </c>
      <c r="B39" s="6" t="s">
        <v>97</v>
      </c>
      <c r="C39" s="7" t="s">
        <v>98</v>
      </c>
      <c r="D39" s="6" t="s">
        <v>426</v>
      </c>
      <c r="E39" s="8" t="s">
        <v>362</v>
      </c>
      <c r="F39" s="8" t="s">
        <v>362</v>
      </c>
      <c r="G39" s="8" t="s">
        <v>362</v>
      </c>
      <c r="H39" s="8" t="s">
        <v>467</v>
      </c>
      <c r="I39" s="8" t="s">
        <v>362</v>
      </c>
      <c r="J39" s="8" t="s">
        <v>362</v>
      </c>
      <c r="K39" s="8" t="s">
        <v>467</v>
      </c>
      <c r="L39" s="8" t="s">
        <v>362</v>
      </c>
      <c r="M39" s="33"/>
      <c r="N39" s="8" t="s">
        <v>467</v>
      </c>
      <c r="O39" s="8" t="s">
        <v>362</v>
      </c>
      <c r="P39" s="8" t="s">
        <v>362</v>
      </c>
      <c r="Q39" s="8"/>
      <c r="R39" s="8"/>
      <c r="S39" s="8"/>
      <c r="T39" s="8"/>
      <c r="U39" s="33"/>
      <c r="V39" s="9">
        <f t="shared" si="0"/>
        <v>8</v>
      </c>
      <c r="W39" s="9">
        <f t="shared" si="1"/>
        <v>0</v>
      </c>
      <c r="X39" s="9">
        <f t="shared" si="2"/>
        <v>0</v>
      </c>
      <c r="Y39" s="9">
        <f t="shared" si="3"/>
        <v>3</v>
      </c>
      <c r="Z39" s="9">
        <f t="shared" si="4"/>
        <v>12</v>
      </c>
      <c r="AA39" s="10">
        <f t="shared" si="5"/>
        <v>0.66666666666666663</v>
      </c>
      <c r="AB39" s="11">
        <f t="shared" si="6"/>
        <v>6.6666666666666661</v>
      </c>
      <c r="AC39" s="12" t="str">
        <f t="shared" si="7"/>
        <v>OK</v>
      </c>
      <c r="AD39" s="8">
        <v>100</v>
      </c>
      <c r="AE39" s="13">
        <f t="shared" si="8"/>
        <v>10</v>
      </c>
      <c r="AF39" s="8">
        <v>23</v>
      </c>
      <c r="AG39" s="13">
        <f t="shared" si="14"/>
        <v>15.333333333333334</v>
      </c>
      <c r="AH39" s="8">
        <v>100</v>
      </c>
      <c r="AI39" s="13">
        <f t="shared" si="9"/>
        <v>15</v>
      </c>
      <c r="AJ39" s="8">
        <v>100</v>
      </c>
      <c r="AK39" s="13">
        <f t="shared" si="10"/>
        <v>15</v>
      </c>
      <c r="AL39" s="8"/>
      <c r="AM39" s="13" t="str">
        <f t="shared" si="11"/>
        <v/>
      </c>
      <c r="AN39" s="14">
        <f t="shared" si="15"/>
        <v>62</v>
      </c>
      <c r="AO39" s="15" t="str">
        <f t="shared" si="12"/>
        <v>C</v>
      </c>
      <c r="AP39" s="15" t="str">
        <f t="shared" si="13"/>
        <v>PASS</v>
      </c>
      <c r="AQ39" s="28">
        <f t="shared" si="16"/>
        <v>18.599999999999998</v>
      </c>
    </row>
    <row r="40" spans="1:43" ht="16" customHeight="1" x14ac:dyDescent="0.2">
      <c r="A40" s="6">
        <v>26</v>
      </c>
      <c r="B40" s="6" t="s">
        <v>99</v>
      </c>
      <c r="C40" s="7" t="s">
        <v>100</v>
      </c>
      <c r="D40" s="6" t="s">
        <v>427</v>
      </c>
      <c r="E40" s="8" t="s">
        <v>362</v>
      </c>
      <c r="F40" s="8" t="s">
        <v>364</v>
      </c>
      <c r="G40" s="8" t="s">
        <v>362</v>
      </c>
      <c r="H40" s="8" t="s">
        <v>467</v>
      </c>
      <c r="I40" s="8" t="s">
        <v>362</v>
      </c>
      <c r="J40" s="8" t="s">
        <v>362</v>
      </c>
      <c r="K40" s="8" t="s">
        <v>467</v>
      </c>
      <c r="L40" s="8" t="s">
        <v>362</v>
      </c>
      <c r="M40" s="33"/>
      <c r="N40" s="8" t="s">
        <v>467</v>
      </c>
      <c r="O40" s="8" t="s">
        <v>362</v>
      </c>
      <c r="P40" s="8" t="s">
        <v>362</v>
      </c>
      <c r="Q40" s="8"/>
      <c r="R40" s="8"/>
      <c r="S40" s="8"/>
      <c r="T40" s="8"/>
      <c r="U40" s="33"/>
      <c r="V40" s="9">
        <f t="shared" si="0"/>
        <v>7</v>
      </c>
      <c r="W40" s="9">
        <f t="shared" si="1"/>
        <v>1</v>
      </c>
      <c r="X40" s="9">
        <f t="shared" si="2"/>
        <v>0</v>
      </c>
      <c r="Y40" s="9">
        <f t="shared" si="3"/>
        <v>3</v>
      </c>
      <c r="Z40" s="9">
        <f t="shared" si="4"/>
        <v>12</v>
      </c>
      <c r="AA40" s="10">
        <f t="shared" si="5"/>
        <v>0.58333333333333337</v>
      </c>
      <c r="AB40" s="11">
        <f t="shared" si="6"/>
        <v>5.8333333333333339</v>
      </c>
      <c r="AC40" s="12" t="str">
        <f t="shared" si="7"/>
        <v>OK</v>
      </c>
      <c r="AD40" s="8">
        <v>100</v>
      </c>
      <c r="AE40" s="13">
        <f t="shared" si="8"/>
        <v>10</v>
      </c>
      <c r="AF40" s="8">
        <v>23</v>
      </c>
      <c r="AG40" s="13">
        <f t="shared" si="14"/>
        <v>15.333333333333334</v>
      </c>
      <c r="AH40" s="8">
        <v>100</v>
      </c>
      <c r="AI40" s="13">
        <f t="shared" si="9"/>
        <v>15</v>
      </c>
      <c r="AJ40" s="8">
        <v>100</v>
      </c>
      <c r="AK40" s="13">
        <f t="shared" si="10"/>
        <v>15</v>
      </c>
      <c r="AL40" s="8"/>
      <c r="AM40" s="13" t="str">
        <f t="shared" si="11"/>
        <v/>
      </c>
      <c r="AN40" s="14">
        <f t="shared" si="15"/>
        <v>61.166666666666671</v>
      </c>
      <c r="AO40" s="15" t="str">
        <f t="shared" si="12"/>
        <v>C</v>
      </c>
      <c r="AP40" s="15" t="str">
        <f t="shared" si="13"/>
        <v>PASS</v>
      </c>
      <c r="AQ40" s="28">
        <f t="shared" si="16"/>
        <v>18.350000000000001</v>
      </c>
    </row>
    <row r="41" spans="1:43" ht="16" customHeight="1" x14ac:dyDescent="0.2">
      <c r="A41" s="6">
        <v>27</v>
      </c>
      <c r="B41" s="6" t="s">
        <v>101</v>
      </c>
      <c r="C41" s="7" t="s">
        <v>102</v>
      </c>
      <c r="D41" s="6" t="s">
        <v>428</v>
      </c>
      <c r="E41" s="8" t="s">
        <v>362</v>
      </c>
      <c r="F41" s="8" t="s">
        <v>362</v>
      </c>
      <c r="G41" s="8" t="s">
        <v>362</v>
      </c>
      <c r="H41" s="8" t="s">
        <v>467</v>
      </c>
      <c r="I41" s="8" t="s">
        <v>362</v>
      </c>
      <c r="J41" s="8" t="s">
        <v>362</v>
      </c>
      <c r="K41" s="8" t="s">
        <v>467</v>
      </c>
      <c r="L41" s="8" t="s">
        <v>362</v>
      </c>
      <c r="M41" s="33"/>
      <c r="N41" s="8" t="s">
        <v>467</v>
      </c>
      <c r="O41" s="8" t="s">
        <v>362</v>
      </c>
      <c r="P41" s="8" t="s">
        <v>362</v>
      </c>
      <c r="Q41" s="8"/>
      <c r="R41" s="8"/>
      <c r="S41" s="8"/>
      <c r="T41" s="8"/>
      <c r="U41" s="33"/>
      <c r="V41" s="9">
        <f t="shared" si="0"/>
        <v>8</v>
      </c>
      <c r="W41" s="9">
        <f t="shared" si="1"/>
        <v>0</v>
      </c>
      <c r="X41" s="9">
        <f t="shared" si="2"/>
        <v>0</v>
      </c>
      <c r="Y41" s="9">
        <f t="shared" si="3"/>
        <v>3</v>
      </c>
      <c r="Z41" s="9">
        <f t="shared" si="4"/>
        <v>12</v>
      </c>
      <c r="AA41" s="10">
        <f t="shared" si="5"/>
        <v>0.66666666666666663</v>
      </c>
      <c r="AB41" s="11">
        <f t="shared" si="6"/>
        <v>6.6666666666666661</v>
      </c>
      <c r="AC41" s="12" t="str">
        <f t="shared" si="7"/>
        <v>OK</v>
      </c>
      <c r="AD41" s="8">
        <v>100</v>
      </c>
      <c r="AE41" s="13">
        <f t="shared" si="8"/>
        <v>10</v>
      </c>
      <c r="AF41" s="8">
        <v>23</v>
      </c>
      <c r="AG41" s="13">
        <f t="shared" si="14"/>
        <v>15.333333333333334</v>
      </c>
      <c r="AH41" s="8">
        <v>100</v>
      </c>
      <c r="AI41" s="13">
        <f t="shared" si="9"/>
        <v>15</v>
      </c>
      <c r="AJ41" s="8">
        <v>100</v>
      </c>
      <c r="AK41" s="13">
        <f t="shared" si="10"/>
        <v>15</v>
      </c>
      <c r="AL41" s="8"/>
      <c r="AM41" s="13" t="str">
        <f t="shared" si="11"/>
        <v/>
      </c>
      <c r="AN41" s="14">
        <f t="shared" si="15"/>
        <v>62</v>
      </c>
      <c r="AO41" s="15" t="str">
        <f t="shared" si="12"/>
        <v>C</v>
      </c>
      <c r="AP41" s="15" t="str">
        <f t="shared" si="13"/>
        <v>PASS</v>
      </c>
      <c r="AQ41" s="28">
        <f t="shared" si="16"/>
        <v>18.599999999999998</v>
      </c>
    </row>
    <row r="42" spans="1:43" ht="16" customHeight="1" x14ac:dyDescent="0.2">
      <c r="A42" s="6">
        <v>28</v>
      </c>
      <c r="B42" s="6" t="s">
        <v>103</v>
      </c>
      <c r="C42" s="7" t="s">
        <v>104</v>
      </c>
      <c r="D42" s="6" t="s">
        <v>429</v>
      </c>
      <c r="E42" s="8" t="s">
        <v>362</v>
      </c>
      <c r="F42" s="8" t="s">
        <v>362</v>
      </c>
      <c r="G42" s="8" t="s">
        <v>362</v>
      </c>
      <c r="H42" s="8" t="s">
        <v>467</v>
      </c>
      <c r="I42" s="8" t="s">
        <v>362</v>
      </c>
      <c r="J42" s="8" t="s">
        <v>362</v>
      </c>
      <c r="K42" s="8" t="s">
        <v>467</v>
      </c>
      <c r="L42" s="8" t="s">
        <v>362</v>
      </c>
      <c r="M42" s="33"/>
      <c r="N42" s="8" t="s">
        <v>467</v>
      </c>
      <c r="O42" s="8" t="s">
        <v>362</v>
      </c>
      <c r="P42" s="8" t="s">
        <v>362</v>
      </c>
      <c r="Q42" s="8"/>
      <c r="R42" s="8"/>
      <c r="S42" s="8"/>
      <c r="T42" s="8"/>
      <c r="U42" s="33"/>
      <c r="V42" s="9">
        <f t="shared" si="0"/>
        <v>8</v>
      </c>
      <c r="W42" s="9">
        <f t="shared" si="1"/>
        <v>0</v>
      </c>
      <c r="X42" s="9">
        <f t="shared" si="2"/>
        <v>0</v>
      </c>
      <c r="Y42" s="9">
        <f t="shared" si="3"/>
        <v>3</v>
      </c>
      <c r="Z42" s="9">
        <f t="shared" si="4"/>
        <v>12</v>
      </c>
      <c r="AA42" s="10">
        <f t="shared" si="5"/>
        <v>0.66666666666666663</v>
      </c>
      <c r="AB42" s="11">
        <f t="shared" si="6"/>
        <v>6.6666666666666661</v>
      </c>
      <c r="AC42" s="12" t="str">
        <f t="shared" si="7"/>
        <v>OK</v>
      </c>
      <c r="AD42" s="8">
        <v>100</v>
      </c>
      <c r="AE42" s="13">
        <f t="shared" si="8"/>
        <v>10</v>
      </c>
      <c r="AF42" s="8">
        <v>27</v>
      </c>
      <c r="AG42" s="13">
        <f t="shared" si="14"/>
        <v>18</v>
      </c>
      <c r="AH42" s="8">
        <v>100</v>
      </c>
      <c r="AI42" s="13">
        <f t="shared" si="9"/>
        <v>15</v>
      </c>
      <c r="AJ42" s="8">
        <v>100</v>
      </c>
      <c r="AK42" s="13">
        <f t="shared" si="10"/>
        <v>15</v>
      </c>
      <c r="AL42" s="8"/>
      <c r="AM42" s="13" t="str">
        <f t="shared" si="11"/>
        <v/>
      </c>
      <c r="AN42" s="14">
        <f t="shared" si="15"/>
        <v>64.666666666666657</v>
      </c>
      <c r="AO42" s="15" t="str">
        <f t="shared" si="12"/>
        <v>C</v>
      </c>
      <c r="AP42" s="15" t="str">
        <f t="shared" si="13"/>
        <v>PASS</v>
      </c>
      <c r="AQ42" s="28">
        <f t="shared" si="16"/>
        <v>19.399999999999995</v>
      </c>
    </row>
    <row r="43" spans="1:43" ht="16" customHeight="1" x14ac:dyDescent="0.2">
      <c r="A43" s="6">
        <v>29</v>
      </c>
      <c r="B43" s="6" t="s">
        <v>105</v>
      </c>
      <c r="C43" s="7" t="s">
        <v>106</v>
      </c>
      <c r="D43" s="6" t="s">
        <v>430</v>
      </c>
      <c r="E43" s="8" t="s">
        <v>362</v>
      </c>
      <c r="F43" s="8" t="s">
        <v>362</v>
      </c>
      <c r="G43" s="8" t="s">
        <v>362</v>
      </c>
      <c r="H43" s="8" t="s">
        <v>467</v>
      </c>
      <c r="I43" s="8" t="s">
        <v>362</v>
      </c>
      <c r="J43" s="8" t="s">
        <v>362</v>
      </c>
      <c r="K43" s="8" t="s">
        <v>467</v>
      </c>
      <c r="L43" s="8" t="s">
        <v>362</v>
      </c>
      <c r="M43" s="33"/>
      <c r="N43" s="8" t="s">
        <v>467</v>
      </c>
      <c r="O43" s="8" t="s">
        <v>362</v>
      </c>
      <c r="P43" s="8" t="s">
        <v>362</v>
      </c>
      <c r="Q43" s="8"/>
      <c r="R43" s="8"/>
      <c r="S43" s="8"/>
      <c r="T43" s="8"/>
      <c r="U43" s="33"/>
      <c r="V43" s="9">
        <f t="shared" si="0"/>
        <v>8</v>
      </c>
      <c r="W43" s="9">
        <f t="shared" si="1"/>
        <v>0</v>
      </c>
      <c r="X43" s="9">
        <f t="shared" si="2"/>
        <v>0</v>
      </c>
      <c r="Y43" s="9">
        <f t="shared" si="3"/>
        <v>3</v>
      </c>
      <c r="Z43" s="9">
        <f t="shared" si="4"/>
        <v>12</v>
      </c>
      <c r="AA43" s="10">
        <f t="shared" si="5"/>
        <v>0.66666666666666663</v>
      </c>
      <c r="AB43" s="11">
        <f t="shared" si="6"/>
        <v>6.6666666666666661</v>
      </c>
      <c r="AC43" s="12" t="str">
        <f t="shared" si="7"/>
        <v>OK</v>
      </c>
      <c r="AD43" s="8">
        <v>100</v>
      </c>
      <c r="AE43" s="13">
        <f t="shared" si="8"/>
        <v>10</v>
      </c>
      <c r="AF43" s="8">
        <v>26</v>
      </c>
      <c r="AG43" s="13">
        <f t="shared" si="14"/>
        <v>17.333333333333336</v>
      </c>
      <c r="AH43" s="8">
        <v>100</v>
      </c>
      <c r="AI43" s="13">
        <f t="shared" si="9"/>
        <v>15</v>
      </c>
      <c r="AJ43" s="8">
        <v>100</v>
      </c>
      <c r="AK43" s="13">
        <f t="shared" si="10"/>
        <v>15</v>
      </c>
      <c r="AL43" s="8"/>
      <c r="AM43" s="13" t="str">
        <f t="shared" si="11"/>
        <v/>
      </c>
      <c r="AN43" s="14">
        <f t="shared" si="15"/>
        <v>64</v>
      </c>
      <c r="AO43" s="15" t="str">
        <f t="shared" si="12"/>
        <v>C</v>
      </c>
      <c r="AP43" s="15" t="str">
        <f t="shared" si="13"/>
        <v>PASS</v>
      </c>
      <c r="AQ43" s="28">
        <f t="shared" si="16"/>
        <v>19.2</v>
      </c>
    </row>
    <row r="44" spans="1:43" ht="16" customHeight="1" x14ac:dyDescent="0.2">
      <c r="A44" s="6">
        <v>30</v>
      </c>
      <c r="B44" s="6" t="s">
        <v>107</v>
      </c>
      <c r="C44" s="7" t="s">
        <v>108</v>
      </c>
      <c r="D44" s="6" t="s">
        <v>431</v>
      </c>
      <c r="E44" s="8" t="s">
        <v>362</v>
      </c>
      <c r="F44" s="8" t="s">
        <v>362</v>
      </c>
      <c r="G44" s="8" t="s">
        <v>364</v>
      </c>
      <c r="H44" s="8" t="s">
        <v>467</v>
      </c>
      <c r="I44" s="8" t="s">
        <v>403</v>
      </c>
      <c r="J44" s="8" t="s">
        <v>364</v>
      </c>
      <c r="K44" s="8" t="s">
        <v>467</v>
      </c>
      <c r="L44" s="8" t="s">
        <v>362</v>
      </c>
      <c r="M44" s="33"/>
      <c r="N44" s="8" t="s">
        <v>467</v>
      </c>
      <c r="O44" s="8" t="s">
        <v>364</v>
      </c>
      <c r="P44" s="8" t="s">
        <v>364</v>
      </c>
      <c r="Q44" s="8"/>
      <c r="R44" s="8"/>
      <c r="S44" s="8"/>
      <c r="T44" s="8"/>
      <c r="U44" s="33"/>
      <c r="V44" s="9">
        <f t="shared" si="0"/>
        <v>3</v>
      </c>
      <c r="W44" s="9">
        <f t="shared" si="1"/>
        <v>4</v>
      </c>
      <c r="X44" s="9">
        <f t="shared" si="2"/>
        <v>1</v>
      </c>
      <c r="Y44" s="9">
        <f t="shared" si="3"/>
        <v>3</v>
      </c>
      <c r="Z44" s="9">
        <f t="shared" si="4"/>
        <v>12</v>
      </c>
      <c r="AA44" s="10">
        <f t="shared" si="5"/>
        <v>0.33333333333333331</v>
      </c>
      <c r="AB44" s="11">
        <f t="shared" si="6"/>
        <v>3.333333333333333</v>
      </c>
      <c r="AC44" s="12" t="str">
        <f t="shared" si="7"/>
        <v>MAXIMUM ABSENCES REACHED</v>
      </c>
      <c r="AD44" s="8">
        <v>100</v>
      </c>
      <c r="AE44" s="13">
        <f t="shared" si="8"/>
        <v>10</v>
      </c>
      <c r="AF44" s="8">
        <v>0</v>
      </c>
      <c r="AG44" s="13">
        <f t="shared" si="14"/>
        <v>0</v>
      </c>
      <c r="AH44" s="8">
        <v>100</v>
      </c>
      <c r="AI44" s="13">
        <f t="shared" si="9"/>
        <v>15</v>
      </c>
      <c r="AJ44" s="8">
        <v>100</v>
      </c>
      <c r="AK44" s="13">
        <f t="shared" si="10"/>
        <v>15</v>
      </c>
      <c r="AL44" s="8"/>
      <c r="AM44" s="13" t="str">
        <f t="shared" si="11"/>
        <v/>
      </c>
      <c r="AN44" s="14">
        <f t="shared" si="15"/>
        <v>43.333333333333329</v>
      </c>
      <c r="AO44" s="15" t="str">
        <f t="shared" si="12"/>
        <v>E/F</v>
      </c>
      <c r="AP44" s="15" t="str">
        <f t="shared" si="13"/>
        <v>NOT PASS</v>
      </c>
      <c r="AQ44" s="28">
        <f t="shared" si="16"/>
        <v>12.999999999999998</v>
      </c>
    </row>
    <row r="45" spans="1:43" ht="16" customHeight="1" x14ac:dyDescent="0.2">
      <c r="A45" s="6">
        <v>31</v>
      </c>
      <c r="B45" s="6" t="s">
        <v>109</v>
      </c>
      <c r="C45" s="7" t="s">
        <v>110</v>
      </c>
      <c r="D45" s="6" t="s">
        <v>432</v>
      </c>
      <c r="E45" s="8" t="s">
        <v>362</v>
      </c>
      <c r="F45" s="8" t="s">
        <v>362</v>
      </c>
      <c r="G45" s="8" t="s">
        <v>362</v>
      </c>
      <c r="H45" s="8" t="s">
        <v>467</v>
      </c>
      <c r="I45" s="8" t="s">
        <v>362</v>
      </c>
      <c r="J45" s="8" t="s">
        <v>362</v>
      </c>
      <c r="K45" s="8" t="s">
        <v>467</v>
      </c>
      <c r="L45" s="8" t="s">
        <v>362</v>
      </c>
      <c r="M45" s="33"/>
      <c r="N45" s="8" t="s">
        <v>467</v>
      </c>
      <c r="O45" s="8" t="s">
        <v>362</v>
      </c>
      <c r="P45" s="8" t="s">
        <v>362</v>
      </c>
      <c r="Q45" s="8"/>
      <c r="R45" s="8"/>
      <c r="S45" s="8"/>
      <c r="T45" s="8"/>
      <c r="U45" s="33"/>
      <c r="V45" s="9">
        <f t="shared" si="0"/>
        <v>8</v>
      </c>
      <c r="W45" s="9">
        <f t="shared" si="1"/>
        <v>0</v>
      </c>
      <c r="X45" s="9">
        <f t="shared" si="2"/>
        <v>0</v>
      </c>
      <c r="Y45" s="9">
        <f t="shared" si="3"/>
        <v>3</v>
      </c>
      <c r="Z45" s="9">
        <f t="shared" si="4"/>
        <v>12</v>
      </c>
      <c r="AA45" s="10">
        <f t="shared" si="5"/>
        <v>0.66666666666666663</v>
      </c>
      <c r="AB45" s="11">
        <f t="shared" si="6"/>
        <v>6.6666666666666661</v>
      </c>
      <c r="AC45" s="12" t="str">
        <f t="shared" si="7"/>
        <v>OK</v>
      </c>
      <c r="AD45" s="8">
        <v>100</v>
      </c>
      <c r="AE45" s="13">
        <f t="shared" si="8"/>
        <v>10</v>
      </c>
      <c r="AF45" s="8">
        <v>25</v>
      </c>
      <c r="AG45" s="13">
        <f t="shared" si="14"/>
        <v>16.666666666666668</v>
      </c>
      <c r="AH45" s="8">
        <v>100</v>
      </c>
      <c r="AI45" s="13">
        <f t="shared" si="9"/>
        <v>15</v>
      </c>
      <c r="AJ45" s="8">
        <v>100</v>
      </c>
      <c r="AK45" s="13">
        <f t="shared" si="10"/>
        <v>15</v>
      </c>
      <c r="AL45" s="8"/>
      <c r="AM45" s="13" t="str">
        <f t="shared" si="11"/>
        <v/>
      </c>
      <c r="AN45" s="14">
        <f t="shared" si="15"/>
        <v>63.333333333333329</v>
      </c>
      <c r="AO45" s="15" t="str">
        <f t="shared" si="12"/>
        <v>C</v>
      </c>
      <c r="AP45" s="15" t="str">
        <f t="shared" si="13"/>
        <v>PASS</v>
      </c>
      <c r="AQ45" s="28">
        <f t="shared" si="16"/>
        <v>18.999999999999996</v>
      </c>
    </row>
    <row r="46" spans="1:43" ht="16" customHeight="1" x14ac:dyDescent="0.2">
      <c r="A46" s="6">
        <v>32</v>
      </c>
      <c r="B46" s="6" t="s">
        <v>111</v>
      </c>
      <c r="C46" s="7" t="s">
        <v>112</v>
      </c>
      <c r="D46" s="6" t="s">
        <v>433</v>
      </c>
      <c r="E46" s="8" t="s">
        <v>362</v>
      </c>
      <c r="F46" s="8" t="s">
        <v>364</v>
      </c>
      <c r="G46" s="8" t="s">
        <v>362</v>
      </c>
      <c r="H46" s="8" t="s">
        <v>467</v>
      </c>
      <c r="I46" s="8" t="s">
        <v>362</v>
      </c>
      <c r="J46" s="8" t="s">
        <v>362</v>
      </c>
      <c r="K46" s="8" t="s">
        <v>467</v>
      </c>
      <c r="L46" s="8" t="s">
        <v>362</v>
      </c>
      <c r="M46" s="33"/>
      <c r="N46" s="8" t="s">
        <v>467</v>
      </c>
      <c r="O46" s="8" t="s">
        <v>362</v>
      </c>
      <c r="P46" s="8" t="s">
        <v>362</v>
      </c>
      <c r="Q46" s="8"/>
      <c r="R46" s="8"/>
      <c r="S46" s="8"/>
      <c r="T46" s="8"/>
      <c r="U46" s="33"/>
      <c r="V46" s="9">
        <f t="shared" si="0"/>
        <v>7</v>
      </c>
      <c r="W46" s="9">
        <f t="shared" si="1"/>
        <v>1</v>
      </c>
      <c r="X46" s="9">
        <f t="shared" si="2"/>
        <v>0</v>
      </c>
      <c r="Y46" s="9">
        <f t="shared" si="3"/>
        <v>3</v>
      </c>
      <c r="Z46" s="9">
        <f t="shared" si="4"/>
        <v>12</v>
      </c>
      <c r="AA46" s="10">
        <f t="shared" si="5"/>
        <v>0.58333333333333337</v>
      </c>
      <c r="AB46" s="11">
        <f t="shared" si="6"/>
        <v>5.8333333333333339</v>
      </c>
      <c r="AC46" s="12" t="str">
        <f t="shared" si="7"/>
        <v>OK</v>
      </c>
      <c r="AD46" s="8">
        <v>100</v>
      </c>
      <c r="AE46" s="13">
        <f t="shared" si="8"/>
        <v>10</v>
      </c>
      <c r="AF46" s="8">
        <v>25</v>
      </c>
      <c r="AG46" s="13">
        <f t="shared" si="14"/>
        <v>16.666666666666668</v>
      </c>
      <c r="AH46" s="8">
        <v>100</v>
      </c>
      <c r="AI46" s="13">
        <f t="shared" si="9"/>
        <v>15</v>
      </c>
      <c r="AJ46" s="8">
        <v>100</v>
      </c>
      <c r="AK46" s="13">
        <f t="shared" si="10"/>
        <v>15</v>
      </c>
      <c r="AL46" s="8"/>
      <c r="AM46" s="13" t="str">
        <f t="shared" si="11"/>
        <v/>
      </c>
      <c r="AN46" s="14">
        <f t="shared" si="15"/>
        <v>62.5</v>
      </c>
      <c r="AO46" s="15" t="str">
        <f t="shared" si="12"/>
        <v>C</v>
      </c>
      <c r="AP46" s="15" t="str">
        <f t="shared" si="13"/>
        <v>PASS</v>
      </c>
      <c r="AQ46" s="28">
        <f t="shared" si="16"/>
        <v>18.75</v>
      </c>
    </row>
    <row r="47" spans="1:43" ht="16" customHeight="1" x14ac:dyDescent="0.2">
      <c r="A47" s="6">
        <v>33</v>
      </c>
      <c r="B47" s="6" t="s">
        <v>113</v>
      </c>
      <c r="C47" s="7" t="s">
        <v>114</v>
      </c>
      <c r="D47" s="6" t="s">
        <v>434</v>
      </c>
      <c r="E47" s="8" t="s">
        <v>362</v>
      </c>
      <c r="F47" s="8" t="s">
        <v>362</v>
      </c>
      <c r="G47" s="8" t="s">
        <v>362</v>
      </c>
      <c r="H47" s="8" t="s">
        <v>467</v>
      </c>
      <c r="I47" s="8" t="s">
        <v>362</v>
      </c>
      <c r="J47" s="8" t="s">
        <v>362</v>
      </c>
      <c r="K47" s="8" t="s">
        <v>467</v>
      </c>
      <c r="L47" s="8" t="s">
        <v>362</v>
      </c>
      <c r="M47" s="33"/>
      <c r="N47" s="8" t="s">
        <v>467</v>
      </c>
      <c r="O47" s="8" t="s">
        <v>362</v>
      </c>
      <c r="P47" s="8" t="s">
        <v>362</v>
      </c>
      <c r="Q47" s="8"/>
      <c r="R47" s="8"/>
      <c r="S47" s="8"/>
      <c r="T47" s="8"/>
      <c r="U47" s="33"/>
      <c r="V47" s="9">
        <f t="shared" si="0"/>
        <v>8</v>
      </c>
      <c r="W47" s="9">
        <f t="shared" si="1"/>
        <v>0</v>
      </c>
      <c r="X47" s="9">
        <f t="shared" si="2"/>
        <v>0</v>
      </c>
      <c r="Y47" s="9">
        <f t="shared" si="3"/>
        <v>3</v>
      </c>
      <c r="Z47" s="9">
        <f t="shared" si="4"/>
        <v>12</v>
      </c>
      <c r="AA47" s="10">
        <f t="shared" si="5"/>
        <v>0.66666666666666663</v>
      </c>
      <c r="AB47" s="11">
        <f t="shared" si="6"/>
        <v>6.6666666666666661</v>
      </c>
      <c r="AC47" s="12" t="str">
        <f t="shared" si="7"/>
        <v>OK</v>
      </c>
      <c r="AD47" s="8">
        <v>100</v>
      </c>
      <c r="AE47" s="13">
        <f t="shared" si="8"/>
        <v>10</v>
      </c>
      <c r="AF47" s="8">
        <v>30</v>
      </c>
      <c r="AG47" s="13">
        <f t="shared" si="14"/>
        <v>20</v>
      </c>
      <c r="AH47" s="8">
        <v>100</v>
      </c>
      <c r="AI47" s="13">
        <f t="shared" si="9"/>
        <v>15</v>
      </c>
      <c r="AJ47" s="8">
        <v>100</v>
      </c>
      <c r="AK47" s="13">
        <f t="shared" si="10"/>
        <v>15</v>
      </c>
      <c r="AL47" s="8"/>
      <c r="AM47" s="13" t="str">
        <f t="shared" si="11"/>
        <v/>
      </c>
      <c r="AN47" s="14">
        <f t="shared" si="15"/>
        <v>66.666666666666657</v>
      </c>
      <c r="AO47" s="15" t="str">
        <f t="shared" si="12"/>
        <v>C+</v>
      </c>
      <c r="AP47" s="15" t="str">
        <f t="shared" si="13"/>
        <v>PASS</v>
      </c>
      <c r="AQ47" s="28">
        <f t="shared" si="16"/>
        <v>19.999999999999996</v>
      </c>
    </row>
    <row r="48" spans="1:43" ht="16" customHeight="1" x14ac:dyDescent="0.2">
      <c r="A48" s="6">
        <v>34</v>
      </c>
      <c r="B48" s="6" t="s">
        <v>115</v>
      </c>
      <c r="C48" s="7" t="s">
        <v>116</v>
      </c>
      <c r="D48" s="6" t="s">
        <v>435</v>
      </c>
      <c r="E48" s="8" t="s">
        <v>362</v>
      </c>
      <c r="F48" s="8" t="s">
        <v>362</v>
      </c>
      <c r="G48" s="8" t="s">
        <v>362</v>
      </c>
      <c r="H48" s="8" t="s">
        <v>467</v>
      </c>
      <c r="I48" s="8" t="s">
        <v>362</v>
      </c>
      <c r="J48" s="8" t="s">
        <v>362</v>
      </c>
      <c r="K48" s="8" t="s">
        <v>467</v>
      </c>
      <c r="L48" s="8" t="s">
        <v>364</v>
      </c>
      <c r="M48" s="33"/>
      <c r="N48" s="8" t="s">
        <v>467</v>
      </c>
      <c r="O48" s="8" t="s">
        <v>403</v>
      </c>
      <c r="P48" s="8" t="s">
        <v>362</v>
      </c>
      <c r="Q48" s="8"/>
      <c r="R48" s="8"/>
      <c r="S48" s="8"/>
      <c r="T48" s="8"/>
      <c r="U48" s="33"/>
      <c r="V48" s="9">
        <f t="shared" si="0"/>
        <v>6</v>
      </c>
      <c r="W48" s="9">
        <f t="shared" si="1"/>
        <v>1</v>
      </c>
      <c r="X48" s="9">
        <f t="shared" si="2"/>
        <v>1</v>
      </c>
      <c r="Y48" s="9">
        <f t="shared" si="3"/>
        <v>3</v>
      </c>
      <c r="Z48" s="9">
        <f t="shared" si="4"/>
        <v>12</v>
      </c>
      <c r="AA48" s="10">
        <f t="shared" si="5"/>
        <v>0.58333333333333337</v>
      </c>
      <c r="AB48" s="11">
        <f t="shared" si="6"/>
        <v>5.8333333333333339</v>
      </c>
      <c r="AC48" s="12" t="str">
        <f t="shared" si="7"/>
        <v>OK</v>
      </c>
      <c r="AD48" s="8">
        <v>100</v>
      </c>
      <c r="AE48" s="13">
        <f t="shared" si="8"/>
        <v>10</v>
      </c>
      <c r="AF48" s="8">
        <v>27</v>
      </c>
      <c r="AG48" s="13">
        <f t="shared" si="14"/>
        <v>18</v>
      </c>
      <c r="AH48" s="8">
        <v>100</v>
      </c>
      <c r="AI48" s="13">
        <f t="shared" si="9"/>
        <v>15</v>
      </c>
      <c r="AJ48" s="8">
        <v>100</v>
      </c>
      <c r="AK48" s="13">
        <f t="shared" si="10"/>
        <v>15</v>
      </c>
      <c r="AL48" s="8"/>
      <c r="AM48" s="13" t="str">
        <f t="shared" si="11"/>
        <v/>
      </c>
      <c r="AN48" s="14">
        <f t="shared" si="15"/>
        <v>63.833333333333336</v>
      </c>
      <c r="AO48" s="15" t="str">
        <f t="shared" si="12"/>
        <v>C</v>
      </c>
      <c r="AP48" s="15" t="str">
        <f t="shared" si="13"/>
        <v>PASS</v>
      </c>
      <c r="AQ48" s="28">
        <f t="shared" si="16"/>
        <v>19.149999999999999</v>
      </c>
    </row>
    <row r="49" spans="1:43" ht="16" customHeight="1" x14ac:dyDescent="0.2">
      <c r="A49" s="6">
        <v>35</v>
      </c>
      <c r="B49" s="6" t="s">
        <v>117</v>
      </c>
      <c r="C49" s="7" t="s">
        <v>118</v>
      </c>
      <c r="D49" s="6" t="s">
        <v>436</v>
      </c>
      <c r="E49" s="8" t="s">
        <v>362</v>
      </c>
      <c r="F49" s="8" t="s">
        <v>362</v>
      </c>
      <c r="G49" s="8" t="s">
        <v>362</v>
      </c>
      <c r="H49" s="8" t="s">
        <v>467</v>
      </c>
      <c r="I49" s="8" t="s">
        <v>364</v>
      </c>
      <c r="J49" s="8" t="s">
        <v>362</v>
      </c>
      <c r="K49" s="8" t="s">
        <v>467</v>
      </c>
      <c r="L49" s="8" t="s">
        <v>362</v>
      </c>
      <c r="M49" s="33"/>
      <c r="N49" s="8" t="s">
        <v>467</v>
      </c>
      <c r="O49" s="8" t="s">
        <v>362</v>
      </c>
      <c r="P49" s="8" t="s">
        <v>362</v>
      </c>
      <c r="Q49" s="8"/>
      <c r="R49" s="8"/>
      <c r="S49" s="8"/>
      <c r="T49" s="8"/>
      <c r="U49" s="33"/>
      <c r="V49" s="9">
        <f t="shared" si="0"/>
        <v>7</v>
      </c>
      <c r="W49" s="9">
        <f t="shared" si="1"/>
        <v>1</v>
      </c>
      <c r="X49" s="9">
        <f t="shared" si="2"/>
        <v>0</v>
      </c>
      <c r="Y49" s="9">
        <f t="shared" si="3"/>
        <v>3</v>
      </c>
      <c r="Z49" s="9">
        <f t="shared" si="4"/>
        <v>12</v>
      </c>
      <c r="AA49" s="10">
        <f t="shared" si="5"/>
        <v>0.58333333333333337</v>
      </c>
      <c r="AB49" s="11">
        <f t="shared" si="6"/>
        <v>5.8333333333333339</v>
      </c>
      <c r="AC49" s="12" t="str">
        <f t="shared" si="7"/>
        <v>OK</v>
      </c>
      <c r="AD49" s="8">
        <v>100</v>
      </c>
      <c r="AE49" s="13">
        <f t="shared" si="8"/>
        <v>10</v>
      </c>
      <c r="AF49" s="8">
        <v>24</v>
      </c>
      <c r="AG49" s="13">
        <f t="shared" si="14"/>
        <v>16</v>
      </c>
      <c r="AH49" s="8">
        <v>100</v>
      </c>
      <c r="AI49" s="13">
        <f t="shared" si="9"/>
        <v>15</v>
      </c>
      <c r="AJ49" s="8">
        <v>100</v>
      </c>
      <c r="AK49" s="13">
        <f t="shared" si="10"/>
        <v>15</v>
      </c>
      <c r="AL49" s="8"/>
      <c r="AM49" s="13" t="str">
        <f t="shared" si="11"/>
        <v/>
      </c>
      <c r="AN49" s="14">
        <f t="shared" si="15"/>
        <v>61.833333333333336</v>
      </c>
      <c r="AO49" s="15" t="str">
        <f t="shared" si="12"/>
        <v>C</v>
      </c>
      <c r="AP49" s="15" t="str">
        <f t="shared" si="13"/>
        <v>PASS</v>
      </c>
      <c r="AQ49" s="28">
        <f t="shared" si="16"/>
        <v>18.55</v>
      </c>
    </row>
    <row r="50" spans="1:43" ht="16" customHeight="1" x14ac:dyDescent="0.2">
      <c r="A50" s="6">
        <v>36</v>
      </c>
      <c r="B50" s="6" t="s">
        <v>119</v>
      </c>
      <c r="C50" s="7" t="s">
        <v>120</v>
      </c>
      <c r="D50" s="6" t="s">
        <v>437</v>
      </c>
      <c r="E50" s="8" t="s">
        <v>362</v>
      </c>
      <c r="F50" s="8" t="s">
        <v>362</v>
      </c>
      <c r="G50" s="8" t="s">
        <v>362</v>
      </c>
      <c r="H50" s="8" t="s">
        <v>467</v>
      </c>
      <c r="I50" s="8" t="s">
        <v>362</v>
      </c>
      <c r="J50" s="8" t="s">
        <v>403</v>
      </c>
      <c r="K50" s="8" t="s">
        <v>467</v>
      </c>
      <c r="L50" s="8" t="s">
        <v>362</v>
      </c>
      <c r="M50" s="33"/>
      <c r="N50" s="8" t="s">
        <v>467</v>
      </c>
      <c r="O50" s="8" t="s">
        <v>362</v>
      </c>
      <c r="P50" s="8" t="s">
        <v>362</v>
      </c>
      <c r="Q50" s="8"/>
      <c r="R50" s="8"/>
      <c r="S50" s="8"/>
      <c r="T50" s="8"/>
      <c r="U50" s="33"/>
      <c r="V50" s="9">
        <f t="shared" si="0"/>
        <v>7</v>
      </c>
      <c r="W50" s="9">
        <f t="shared" si="1"/>
        <v>0</v>
      </c>
      <c r="X50" s="9">
        <f t="shared" si="2"/>
        <v>1</v>
      </c>
      <c r="Y50" s="9">
        <f t="shared" si="3"/>
        <v>3</v>
      </c>
      <c r="Z50" s="9">
        <f t="shared" si="4"/>
        <v>12</v>
      </c>
      <c r="AA50" s="10">
        <f t="shared" si="5"/>
        <v>0.66666666666666663</v>
      </c>
      <c r="AB50" s="11">
        <f t="shared" si="6"/>
        <v>6.6666666666666661</v>
      </c>
      <c r="AC50" s="12" t="str">
        <f t="shared" si="7"/>
        <v>OK</v>
      </c>
      <c r="AD50" s="8">
        <v>100</v>
      </c>
      <c r="AE50" s="13">
        <f t="shared" si="8"/>
        <v>10</v>
      </c>
      <c r="AF50" s="8">
        <v>27</v>
      </c>
      <c r="AG50" s="13">
        <f t="shared" si="14"/>
        <v>18</v>
      </c>
      <c r="AH50" s="8">
        <v>100</v>
      </c>
      <c r="AI50" s="13">
        <f t="shared" si="9"/>
        <v>15</v>
      </c>
      <c r="AJ50" s="8">
        <v>100</v>
      </c>
      <c r="AK50" s="13">
        <f t="shared" si="10"/>
        <v>15</v>
      </c>
      <c r="AL50" s="8"/>
      <c r="AM50" s="13" t="str">
        <f t="shared" si="11"/>
        <v/>
      </c>
      <c r="AN50" s="14">
        <f t="shared" si="15"/>
        <v>64.666666666666657</v>
      </c>
      <c r="AO50" s="15" t="str">
        <f t="shared" si="12"/>
        <v>C</v>
      </c>
      <c r="AP50" s="15" t="str">
        <f t="shared" si="13"/>
        <v>PASS</v>
      </c>
      <c r="AQ50" s="28">
        <f t="shared" si="16"/>
        <v>19.399999999999995</v>
      </c>
    </row>
    <row r="51" spans="1:43" ht="16" customHeight="1" x14ac:dyDescent="0.2">
      <c r="A51" s="6">
        <v>37</v>
      </c>
      <c r="B51" s="6" t="s">
        <v>121</v>
      </c>
      <c r="C51" s="7" t="s">
        <v>122</v>
      </c>
      <c r="D51" s="6" t="s">
        <v>438</v>
      </c>
      <c r="E51" s="8" t="s">
        <v>362</v>
      </c>
      <c r="F51" s="8" t="s">
        <v>362</v>
      </c>
      <c r="G51" s="8" t="s">
        <v>362</v>
      </c>
      <c r="H51" s="8" t="s">
        <v>467</v>
      </c>
      <c r="I51" s="8" t="s">
        <v>362</v>
      </c>
      <c r="J51" s="8" t="s">
        <v>364</v>
      </c>
      <c r="K51" s="8" t="s">
        <v>467</v>
      </c>
      <c r="L51" s="8" t="s">
        <v>362</v>
      </c>
      <c r="M51" s="33"/>
      <c r="N51" s="8" t="s">
        <v>467</v>
      </c>
      <c r="O51" s="8" t="s">
        <v>362</v>
      </c>
      <c r="P51" s="8" t="s">
        <v>362</v>
      </c>
      <c r="Q51" s="8"/>
      <c r="R51" s="8"/>
      <c r="S51" s="8"/>
      <c r="T51" s="8"/>
      <c r="U51" s="33"/>
      <c r="V51" s="9">
        <f t="shared" si="0"/>
        <v>7</v>
      </c>
      <c r="W51" s="9">
        <f t="shared" si="1"/>
        <v>1</v>
      </c>
      <c r="X51" s="9">
        <f t="shared" si="2"/>
        <v>0</v>
      </c>
      <c r="Y51" s="9">
        <f t="shared" si="3"/>
        <v>3</v>
      </c>
      <c r="Z51" s="9">
        <f t="shared" si="4"/>
        <v>12</v>
      </c>
      <c r="AA51" s="10">
        <f t="shared" si="5"/>
        <v>0.58333333333333337</v>
      </c>
      <c r="AB51" s="11">
        <f t="shared" si="6"/>
        <v>5.8333333333333339</v>
      </c>
      <c r="AC51" s="12" t="str">
        <f t="shared" si="7"/>
        <v>OK</v>
      </c>
      <c r="AD51" s="8">
        <v>100</v>
      </c>
      <c r="AE51" s="13">
        <f t="shared" si="8"/>
        <v>10</v>
      </c>
      <c r="AF51" s="8">
        <v>24</v>
      </c>
      <c r="AG51" s="13">
        <f t="shared" si="14"/>
        <v>16</v>
      </c>
      <c r="AH51" s="8">
        <v>100</v>
      </c>
      <c r="AI51" s="13">
        <f t="shared" si="9"/>
        <v>15</v>
      </c>
      <c r="AJ51" s="8">
        <v>100</v>
      </c>
      <c r="AK51" s="13">
        <f t="shared" si="10"/>
        <v>15</v>
      </c>
      <c r="AL51" s="8"/>
      <c r="AM51" s="13" t="str">
        <f t="shared" si="11"/>
        <v/>
      </c>
      <c r="AN51" s="14">
        <f t="shared" si="15"/>
        <v>61.833333333333336</v>
      </c>
      <c r="AO51" s="15" t="str">
        <f t="shared" si="12"/>
        <v>C</v>
      </c>
      <c r="AP51" s="15" t="str">
        <f t="shared" si="13"/>
        <v>PASS</v>
      </c>
      <c r="AQ51" s="28">
        <f t="shared" si="16"/>
        <v>18.55</v>
      </c>
    </row>
  </sheetData>
  <mergeCells count="29">
    <mergeCell ref="H6:P6"/>
    <mergeCell ref="E12:L12"/>
    <mergeCell ref="V12:AC12"/>
    <mergeCell ref="AH12:AI12"/>
    <mergeCell ref="AJ12:AK12"/>
    <mergeCell ref="H8:P8"/>
    <mergeCell ref="U12:U51"/>
    <mergeCell ref="N12:T12"/>
    <mergeCell ref="H10:P10"/>
    <mergeCell ref="A6:F6"/>
    <mergeCell ref="H9:P9"/>
    <mergeCell ref="A7:F7"/>
    <mergeCell ref="AD12:AE12"/>
    <mergeCell ref="AN12:AQ12"/>
    <mergeCell ref="A1:AP1"/>
    <mergeCell ref="B12:B14"/>
    <mergeCell ref="H7:P7"/>
    <mergeCell ref="A12:A14"/>
    <mergeCell ref="C12:C14"/>
    <mergeCell ref="A8:F8"/>
    <mergeCell ref="A3:AP3"/>
    <mergeCell ref="D12:D14"/>
    <mergeCell ref="A2:AP2"/>
    <mergeCell ref="A10:F10"/>
    <mergeCell ref="AL12:AM12"/>
    <mergeCell ref="A5:AP5"/>
    <mergeCell ref="AF12:AG12"/>
    <mergeCell ref="A9:F9"/>
    <mergeCell ref="M12:M51"/>
  </mergeCells>
  <conditionalFormatting sqref="E15:L51 N15:T51">
    <cfRule type="cellIs" dxfId="59" priority="1" operator="equal">
      <formula>"P"</formula>
    </cfRule>
    <cfRule type="cellIs" dxfId="58" priority="2" operator="equal">
      <formula>"A"</formula>
    </cfRule>
    <cfRule type="cellIs" dxfId="57" priority="3" operator="equal">
      <formula>"E"</formula>
    </cfRule>
    <cfRule type="cellIs" dxfId="56" priority="4" operator="equal">
      <formula>"NC"</formula>
    </cfRule>
  </conditionalFormatting>
  <conditionalFormatting sqref="W15:W51">
    <cfRule type="cellIs" dxfId="55" priority="5" operator="greaterThan">
      <formula>4</formula>
    </cfRule>
    <cfRule type="cellIs" dxfId="54" priority="6" operator="equal">
      <formula>4</formula>
    </cfRule>
    <cfRule type="cellIs" dxfId="53" priority="7" operator="equal">
      <formula>3</formula>
    </cfRule>
  </conditionalFormatting>
  <conditionalFormatting sqref="AC15:AC51">
    <cfRule type="cellIs" dxfId="52" priority="8" operator="equal">
      <formula>"EXCEEDED ABSENCE LIMIT"</formula>
    </cfRule>
    <cfRule type="cellIs" dxfId="51" priority="9" operator="equal">
      <formula>"MAXIMUM ABSENCES REACHED"</formula>
    </cfRule>
    <cfRule type="cellIs" dxfId="50" priority="10" operator="equal">
      <formula>"WARNING: 3 absences"</formula>
    </cfRule>
  </conditionalFormatting>
  <conditionalFormatting sqref="AN15:AN51">
    <cfRule type="expression" dxfId="49" priority="14">
      <formula>AND(AN15&gt;=50,AP15&lt;&gt;"IN PROGRESS")</formula>
    </cfRule>
    <cfRule type="expression" dxfId="48" priority="15">
      <formula>AND(AN15&lt;50,AP15&lt;&gt;"IN PROGRESS")</formula>
    </cfRule>
  </conditionalFormatting>
  <conditionalFormatting sqref="AP15:AQ51">
    <cfRule type="cellIs" dxfId="47" priority="11" operator="equal">
      <formula>"PASS"</formula>
    </cfRule>
    <cfRule type="cellIs" dxfId="46" priority="12" operator="equal">
      <formula>"NOT PASS"</formula>
    </cfRule>
    <cfRule type="cellIs" dxfId="45" priority="13" operator="equal">
      <formula>"IN PROGRESS"</formula>
    </cfRule>
  </conditionalFormatting>
  <dataValidations count="2">
    <dataValidation type="list" allowBlank="1" errorTitle="Invalid attendance code" error="Enter P, A, E, or NC only." sqref="E15:T51" xr:uid="{00000000-0002-0000-0000-000000000000}">
      <formula1>"P,A,E,NC"</formula1>
    </dataValidation>
    <dataValidation type="decimal" allowBlank="1" errorTitle="Invalid score" error="Score must be between 0 and 100." sqref="AH15:AH51 AL15:AL51 AD15:AD51 AF15:AF51 AJ15:AJ51" xr:uid="{00000000-0002-0000-0000-000001000000}">
      <formula1>0</formula1>
      <formula2>100</formula2>
    </dataValidation>
  </dataValidations>
  <pageMargins left="0.3" right="0.3" top="0.4" bottom="0.4" header="0.5" footer="0.5"/>
  <pageSetup fitToHeight="0" orientation="landscape"/>
  <headerFooter>
    <oddHeader>&amp;CEnglish for Communication — Semester Gradebook</oddHeader>
    <oddFooter>&amp;CEFC —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H53"/>
  <sheetViews>
    <sheetView showGridLines="0" workbookViewId="0">
      <pane xSplit="4" ySplit="14" topLeftCell="AR29" activePane="bottomRight" state="frozen"/>
      <selection pane="topRight"/>
      <selection pane="bottomLeft"/>
      <selection pane="bottomRight" activeCell="AG13" sqref="AG13"/>
    </sheetView>
  </sheetViews>
  <sheetFormatPr baseColWidth="10" defaultColWidth="8.83203125" defaultRowHeight="15" x14ac:dyDescent="0.2"/>
  <cols>
    <col min="1" max="1" width="4.5" customWidth="1"/>
    <col min="2" max="2" width="13" customWidth="1"/>
    <col min="3" max="3" width="26" customWidth="1"/>
    <col min="4" max="4" width="11.83203125" customWidth="1"/>
    <col min="5" max="12" width="6.1640625" customWidth="1"/>
    <col min="13" max="13" width="4.5" customWidth="1"/>
    <col min="14" max="20" width="6.1640625" customWidth="1"/>
    <col min="21" max="21" width="4.5" customWidth="1"/>
    <col min="22" max="28" width="9.5" customWidth="1"/>
    <col min="29" max="29" width="20" customWidth="1"/>
    <col min="30" max="34" width="7.5" customWidth="1"/>
    <col min="35" max="35" width="8" customWidth="1"/>
    <col min="36" max="36" width="8.5" customWidth="1"/>
    <col min="37" max="41" width="7.5" customWidth="1"/>
    <col min="42" max="42" width="8" customWidth="1"/>
    <col min="43" max="43" width="8.5" customWidth="1"/>
    <col min="44" max="48" width="7.5" customWidth="1"/>
    <col min="49" max="49" width="8" customWidth="1"/>
    <col min="50" max="50" width="8.5" customWidth="1"/>
    <col min="51" max="51" width="8" customWidth="1"/>
    <col min="52" max="53" width="8.5" customWidth="1"/>
    <col min="54" max="54" width="8" customWidth="1"/>
    <col min="55" max="55" width="8.5" customWidth="1"/>
    <col min="56" max="56" width="8" customWidth="1"/>
    <col min="57" max="57" width="8.5" customWidth="1"/>
    <col min="58" max="60" width="11" customWidth="1"/>
  </cols>
  <sheetData>
    <row r="1" spans="1:60" ht="2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</row>
    <row r="2" spans="1:60" x14ac:dyDescent="0.2">
      <c r="A2" s="39" t="s">
        <v>123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</row>
    <row r="3" spans="1:60" x14ac:dyDescent="0.2">
      <c r="A3" s="38" t="s">
        <v>124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5" spans="1:60" x14ac:dyDescent="0.2">
      <c r="A5" s="40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</row>
    <row r="6" spans="1:60" x14ac:dyDescent="0.2">
      <c r="A6" s="34" t="str">
        <f>"Number of Students:  "&amp;COUNTA(B15:B52)</f>
        <v>Number of Students:  38</v>
      </c>
      <c r="B6" s="31"/>
      <c r="C6" s="31"/>
      <c r="D6" s="31"/>
      <c r="E6" s="31"/>
      <c r="F6" s="31"/>
      <c r="H6" s="34" t="str">
        <f>"Students Passing:  "&amp;COUNTIF(BH15:BH52,"PASS")</f>
        <v>Students Passing:  38</v>
      </c>
      <c r="I6" s="31"/>
      <c r="J6" s="31"/>
      <c r="K6" s="31"/>
      <c r="L6" s="31"/>
      <c r="M6" s="31"/>
      <c r="N6" s="31"/>
      <c r="O6" s="31"/>
      <c r="P6" s="31"/>
    </row>
    <row r="7" spans="1:60" x14ac:dyDescent="0.2">
      <c r="A7" s="34" t="str">
        <f>"Scheduled Class Meetings:  "&amp;15</f>
        <v>Scheduled Class Meetings:  15</v>
      </c>
      <c r="B7" s="31"/>
      <c r="C7" s="31"/>
      <c r="D7" s="31"/>
      <c r="E7" s="31"/>
      <c r="F7" s="31"/>
      <c r="H7" s="34" t="str">
        <f>"Students Not Passing:  "&amp;COUNTIF(BH15:BH52,"NOT PASS")</f>
        <v>Students Not Passing:  0</v>
      </c>
      <c r="I7" s="31"/>
      <c r="J7" s="31"/>
      <c r="K7" s="31"/>
      <c r="L7" s="31"/>
      <c r="M7" s="31"/>
      <c r="N7" s="31"/>
      <c r="O7" s="31"/>
      <c r="P7" s="31"/>
    </row>
    <row r="8" spans="1:60" x14ac:dyDescent="0.2">
      <c r="A8" s="34" t="str">
        <f>"Average Attendance:  "&amp;TEXT(IFERROR(AVERAGE(AA15:AA52),0),"0.0%")</f>
        <v>Average Attendance:  67.8%</v>
      </c>
      <c r="B8" s="31"/>
      <c r="C8" s="31"/>
      <c r="D8" s="31"/>
      <c r="E8" s="31"/>
      <c r="F8" s="31"/>
      <c r="H8" s="34" t="str">
        <f>"Students At/Over 4-Absence Limit:  "&amp;COUNTIF(W15:W52,"&gt;=4")</f>
        <v>Students At/Over 4-Absence Limit:  0</v>
      </c>
      <c r="I8" s="31"/>
      <c r="J8" s="31"/>
      <c r="K8" s="31"/>
      <c r="L8" s="31"/>
      <c r="M8" s="31"/>
      <c r="N8" s="31"/>
      <c r="O8" s="31"/>
      <c r="P8" s="31"/>
    </row>
    <row r="9" spans="1:60" x14ac:dyDescent="0.2">
      <c r="A9" s="34" t="str">
        <f>"Average Speaking Score:  "&amp;TEXT(IFERROR(AVERAGE(AP15:AP52),0),"0.0")</f>
        <v>Average Speaking Score:  84.9</v>
      </c>
      <c r="B9" s="31"/>
      <c r="C9" s="31"/>
      <c r="D9" s="31"/>
      <c r="E9" s="31"/>
      <c r="F9" s="31"/>
      <c r="H9" s="34" t="str">
        <f>"Students In Progress (ungraded):  "&amp;COUNTIF(BH15:BH52,"IN PROGRESS")</f>
        <v>Students In Progress (ungraded):  0</v>
      </c>
      <c r="I9" s="31"/>
      <c r="J9" s="31"/>
      <c r="K9" s="31"/>
      <c r="L9" s="31"/>
      <c r="M9" s="31"/>
      <c r="N9" s="31"/>
      <c r="O9" s="31"/>
      <c r="P9" s="31"/>
    </row>
    <row r="10" spans="1:60" x14ac:dyDescent="0.2">
      <c r="A10" s="34" t="str">
        <f>"Average Final Grade:  "&amp;TEXT(IFERROR(AVERAGE(BF15:BF52),0),"0.00")</f>
        <v>Average Final Grade:  66.80</v>
      </c>
      <c r="B10" s="31"/>
      <c r="C10" s="31"/>
      <c r="D10" s="31"/>
      <c r="E10" s="31"/>
      <c r="F10" s="31"/>
      <c r="H10" s="34" t="str">
        <f>"Passing Grade Threshold:  "&amp;50</f>
        <v>Passing Grade Threshold:  50</v>
      </c>
      <c r="I10" s="31"/>
      <c r="J10" s="31"/>
      <c r="K10" s="31"/>
      <c r="L10" s="31"/>
      <c r="M10" s="31"/>
      <c r="N10" s="31"/>
      <c r="O10" s="31"/>
      <c r="P10" s="31"/>
    </row>
    <row r="12" spans="1:60" ht="34" customHeight="1" x14ac:dyDescent="0.2">
      <c r="A12" s="36" t="s">
        <v>4</v>
      </c>
      <c r="B12" s="36" t="s">
        <v>5</v>
      </c>
      <c r="C12" s="36" t="s">
        <v>6</v>
      </c>
      <c r="D12" s="36" t="s">
        <v>365</v>
      </c>
      <c r="E12" s="35" t="s">
        <v>7</v>
      </c>
      <c r="F12" s="31"/>
      <c r="G12" s="31"/>
      <c r="H12" s="31"/>
      <c r="I12" s="31"/>
      <c r="J12" s="31"/>
      <c r="K12" s="31"/>
      <c r="L12" s="31"/>
      <c r="M12" s="32" t="s">
        <v>8</v>
      </c>
      <c r="N12" s="35" t="s">
        <v>9</v>
      </c>
      <c r="O12" s="31"/>
      <c r="P12" s="31"/>
      <c r="Q12" s="31"/>
      <c r="R12" s="31"/>
      <c r="S12" s="31"/>
      <c r="T12" s="31"/>
      <c r="U12" s="32" t="s">
        <v>10</v>
      </c>
      <c r="V12" s="42" t="s">
        <v>11</v>
      </c>
      <c r="W12" s="31"/>
      <c r="X12" s="31"/>
      <c r="Y12" s="31"/>
      <c r="Z12" s="31"/>
      <c r="AA12" s="31"/>
      <c r="AB12" s="31"/>
      <c r="AC12" s="31"/>
      <c r="AD12" s="35" t="s">
        <v>485</v>
      </c>
      <c r="AE12" s="31"/>
      <c r="AF12" s="31"/>
      <c r="AG12" s="31"/>
      <c r="AH12" s="31"/>
      <c r="AI12" s="31"/>
      <c r="AJ12" s="31"/>
      <c r="AK12" s="35" t="s">
        <v>126</v>
      </c>
      <c r="AL12" s="31"/>
      <c r="AM12" s="31"/>
      <c r="AN12" s="31"/>
      <c r="AO12" s="31"/>
      <c r="AP12" s="31"/>
      <c r="AQ12" s="31"/>
      <c r="AR12" s="35" t="s">
        <v>127</v>
      </c>
      <c r="AS12" s="31"/>
      <c r="AT12" s="31"/>
      <c r="AU12" s="31"/>
      <c r="AV12" s="31"/>
      <c r="AW12" s="31"/>
      <c r="AX12" s="31"/>
      <c r="AY12" s="35" t="s">
        <v>13</v>
      </c>
      <c r="AZ12" s="31"/>
      <c r="BA12" s="35" t="s">
        <v>128</v>
      </c>
      <c r="BB12" s="35"/>
      <c r="BC12" s="35"/>
      <c r="BD12" s="35" t="s">
        <v>129</v>
      </c>
      <c r="BE12" s="31"/>
      <c r="BF12" s="41" t="s">
        <v>17</v>
      </c>
      <c r="BG12" s="31"/>
      <c r="BH12" s="31"/>
    </row>
    <row r="13" spans="1:60" x14ac:dyDescent="0.2">
      <c r="A13" s="37"/>
      <c r="B13" s="37"/>
      <c r="C13" s="37"/>
      <c r="D13" s="37"/>
      <c r="E13" s="22"/>
      <c r="F13" s="23" t="s">
        <v>480</v>
      </c>
      <c r="G13" s="23" t="s">
        <v>478</v>
      </c>
      <c r="H13" s="23" t="s">
        <v>482</v>
      </c>
      <c r="I13" s="23" t="s">
        <v>477</v>
      </c>
      <c r="J13" s="23" t="s">
        <v>476</v>
      </c>
      <c r="K13" s="23" t="s">
        <v>481</v>
      </c>
      <c r="L13" s="23" t="s">
        <v>489</v>
      </c>
      <c r="M13" s="32"/>
      <c r="N13" s="23" t="s">
        <v>466</v>
      </c>
      <c r="O13" s="23" t="s">
        <v>363</v>
      </c>
      <c r="P13" s="23" t="s">
        <v>470</v>
      </c>
      <c r="Q13" s="23" t="s">
        <v>491</v>
      </c>
      <c r="R13" s="23" t="s">
        <v>492</v>
      </c>
      <c r="S13" s="23" t="s">
        <v>482</v>
      </c>
      <c r="T13" s="23" t="s">
        <v>468</v>
      </c>
      <c r="U13" s="32"/>
      <c r="V13" s="22"/>
      <c r="AD13" s="23" t="s">
        <v>480</v>
      </c>
      <c r="AE13" s="23" t="s">
        <v>484</v>
      </c>
      <c r="AF13" t="s">
        <v>498</v>
      </c>
      <c r="AG13" s="23" t="s">
        <v>491</v>
      </c>
      <c r="AK13" s="23" t="s">
        <v>479</v>
      </c>
      <c r="AL13" s="23" t="s">
        <v>483</v>
      </c>
      <c r="AM13" s="23" t="s">
        <v>497</v>
      </c>
      <c r="AN13" s="23" t="s">
        <v>496</v>
      </c>
      <c r="AO13" s="23"/>
      <c r="AR13" s="23" t="s">
        <v>495</v>
      </c>
      <c r="AS13" s="23" t="s">
        <v>487</v>
      </c>
      <c r="AT13" s="23" t="s">
        <v>489</v>
      </c>
      <c r="AU13" s="23" t="s">
        <v>490</v>
      </c>
      <c r="AY13" s="22"/>
      <c r="BB13" s="22"/>
      <c r="BD13" s="22"/>
      <c r="BF13" s="22"/>
    </row>
    <row r="14" spans="1:60" ht="30" customHeight="1" x14ac:dyDescent="0.2">
      <c r="A14" s="31"/>
      <c r="B14" s="31"/>
      <c r="C14" s="31"/>
      <c r="D14" s="31"/>
      <c r="E14" s="1" t="s">
        <v>130</v>
      </c>
      <c r="F14" s="1" t="s">
        <v>131</v>
      </c>
      <c r="G14" s="1" t="s">
        <v>132</v>
      </c>
      <c r="H14" s="1" t="s">
        <v>133</v>
      </c>
      <c r="I14" s="1" t="s">
        <v>134</v>
      </c>
      <c r="J14" s="1" t="s">
        <v>135</v>
      </c>
      <c r="K14" s="1" t="s">
        <v>136</v>
      </c>
      <c r="L14" s="1" t="s">
        <v>137</v>
      </c>
      <c r="M14" s="31"/>
      <c r="N14" s="1" t="s">
        <v>138</v>
      </c>
      <c r="O14" s="1" t="s">
        <v>139</v>
      </c>
      <c r="P14" s="1" t="s">
        <v>140</v>
      </c>
      <c r="Q14" s="1" t="s">
        <v>141</v>
      </c>
      <c r="R14" s="1" t="s">
        <v>142</v>
      </c>
      <c r="S14" s="1" t="s">
        <v>143</v>
      </c>
      <c r="T14" s="1" t="s">
        <v>144</v>
      </c>
      <c r="U14" s="31"/>
      <c r="V14" s="2" t="s">
        <v>33</v>
      </c>
      <c r="W14" s="2" t="s">
        <v>34</v>
      </c>
      <c r="X14" s="2" t="s">
        <v>35</v>
      </c>
      <c r="Y14" s="2" t="s">
        <v>36</v>
      </c>
      <c r="Z14" s="2" t="s">
        <v>37</v>
      </c>
      <c r="AA14" s="2" t="s">
        <v>38</v>
      </c>
      <c r="AB14" s="2" t="s">
        <v>39</v>
      </c>
      <c r="AC14" s="2" t="s">
        <v>40</v>
      </c>
      <c r="AD14" s="3" t="s">
        <v>145</v>
      </c>
      <c r="AE14" s="3" t="s">
        <v>146</v>
      </c>
      <c r="AF14" s="3" t="s">
        <v>147</v>
      </c>
      <c r="AG14" s="3" t="s">
        <v>148</v>
      </c>
      <c r="AH14" s="3" t="s">
        <v>149</v>
      </c>
      <c r="AI14" s="4" t="s">
        <v>150</v>
      </c>
      <c r="AJ14" s="4" t="s">
        <v>44</v>
      </c>
      <c r="AK14" s="3" t="s">
        <v>151</v>
      </c>
      <c r="AL14" s="3" t="s">
        <v>152</v>
      </c>
      <c r="AM14" s="3" t="s">
        <v>153</v>
      </c>
      <c r="AN14" s="3" t="s">
        <v>154</v>
      </c>
      <c r="AO14" s="3" t="s">
        <v>155</v>
      </c>
      <c r="AP14" s="4" t="s">
        <v>150</v>
      </c>
      <c r="AQ14" s="4" t="s">
        <v>156</v>
      </c>
      <c r="AR14" s="3" t="s">
        <v>151</v>
      </c>
      <c r="AS14" s="3" t="s">
        <v>152</v>
      </c>
      <c r="AT14" s="3" t="s">
        <v>153</v>
      </c>
      <c r="AU14" s="3" t="s">
        <v>154</v>
      </c>
      <c r="AV14" s="3" t="s">
        <v>155</v>
      </c>
      <c r="AW14" s="4" t="s">
        <v>150</v>
      </c>
      <c r="AX14" s="4" t="s">
        <v>42</v>
      </c>
      <c r="AY14" s="3" t="s">
        <v>469</v>
      </c>
      <c r="AZ14" s="4" t="s">
        <v>43</v>
      </c>
      <c r="BA14" s="4" t="s">
        <v>512</v>
      </c>
      <c r="BB14" s="3" t="s">
        <v>41</v>
      </c>
      <c r="BC14" s="4" t="s">
        <v>42</v>
      </c>
      <c r="BD14" s="3" t="s">
        <v>469</v>
      </c>
      <c r="BE14" s="4" t="s">
        <v>42</v>
      </c>
      <c r="BF14" s="5" t="s">
        <v>46</v>
      </c>
      <c r="BG14" s="5" t="s">
        <v>47</v>
      </c>
      <c r="BH14" s="5" t="s">
        <v>48</v>
      </c>
    </row>
    <row r="15" spans="1:60" ht="16" customHeight="1" x14ac:dyDescent="0.2">
      <c r="A15" s="6">
        <v>1</v>
      </c>
      <c r="B15" s="6" t="s">
        <v>157</v>
      </c>
      <c r="C15" s="7" t="s">
        <v>158</v>
      </c>
      <c r="D15" s="6" t="s">
        <v>366</v>
      </c>
      <c r="E15" s="8" t="s">
        <v>362</v>
      </c>
      <c r="F15" s="8" t="s">
        <v>362</v>
      </c>
      <c r="G15" s="8" t="s">
        <v>362</v>
      </c>
      <c r="H15" s="8" t="s">
        <v>467</v>
      </c>
      <c r="I15" s="8" t="s">
        <v>362</v>
      </c>
      <c r="J15" s="8" t="s">
        <v>403</v>
      </c>
      <c r="K15" s="8" t="s">
        <v>362</v>
      </c>
      <c r="L15" s="8" t="s">
        <v>362</v>
      </c>
      <c r="M15" s="33"/>
      <c r="N15" s="8" t="s">
        <v>362</v>
      </c>
      <c r="O15" s="8" t="s">
        <v>362</v>
      </c>
      <c r="P15" s="8" t="s">
        <v>364</v>
      </c>
      <c r="Q15" s="8"/>
      <c r="R15" s="8"/>
      <c r="S15" s="8" t="s">
        <v>467</v>
      </c>
      <c r="T15" s="8"/>
      <c r="U15" s="33"/>
      <c r="V15" s="9">
        <f t="shared" ref="V15:V52" si="0">COUNTIF(E15:L15,"P")+COUNTIF(N15:T15,"P")</f>
        <v>8</v>
      </c>
      <c r="W15" s="9">
        <f t="shared" ref="W15:W52" si="1">COUNTIF(E15:L15,"A")+COUNTIF(N15:T15,"A")</f>
        <v>1</v>
      </c>
      <c r="X15" s="9">
        <f t="shared" ref="X15:X52" si="2">COUNTIF(E15:L15,"E")+COUNTIF(N15:T15,"E")</f>
        <v>1</v>
      </c>
      <c r="Y15" s="9">
        <f t="shared" ref="Y15:Y52" si="3">COUNTIF(E15:L15,"NC")+COUNTIF(N15:T15,"NC")</f>
        <v>2</v>
      </c>
      <c r="Z15" s="9">
        <f t="shared" ref="Z15:Z52" si="4">15-Y15</f>
        <v>13</v>
      </c>
      <c r="AA15" s="10">
        <f t="shared" ref="AA15:AA52" si="5">IF(Z15=0,"",(V15+X15)/Z15)</f>
        <v>0.69230769230769229</v>
      </c>
      <c r="AB15" s="11">
        <f t="shared" ref="AB15:AB52" si="6">IF(AA15="","",AA15*10)</f>
        <v>6.9230769230769234</v>
      </c>
      <c r="AC15" s="12" t="str">
        <f t="shared" ref="AC15:AC52" si="7">IF(W15&gt;4,"EXCEEDED ABSENCE LIMIT",IF(W15=4,"MAXIMUM ABSENCES REACHED",IF(W15=3,"WARNING: 3 absences","OK")))</f>
        <v>OK</v>
      </c>
      <c r="AD15" s="8">
        <v>100</v>
      </c>
      <c r="AE15" s="8">
        <v>88</v>
      </c>
      <c r="AF15" s="8">
        <v>91</v>
      </c>
      <c r="AG15" s="8"/>
      <c r="AH15" s="8"/>
      <c r="AI15" s="16">
        <f t="shared" ref="AI15:AI52" si="8">IFERROR(AVERAGE(AD15:AH15),"")</f>
        <v>93</v>
      </c>
      <c r="AJ15" s="13">
        <f t="shared" ref="AJ15:AJ52" si="9">IF(AI15="","",AI15/100*15)</f>
        <v>13.950000000000001</v>
      </c>
      <c r="AK15" s="8">
        <v>100</v>
      </c>
      <c r="AL15" s="8">
        <v>100</v>
      </c>
      <c r="AM15" s="8">
        <v>100</v>
      </c>
      <c r="AN15" s="8">
        <v>0</v>
      </c>
      <c r="AO15" s="8"/>
      <c r="AP15" s="16">
        <f>IFERROR(AVERAGE(AK15:AO15),"")</f>
        <v>75</v>
      </c>
      <c r="AQ15" s="13">
        <f>IF(AP15="","",AP15/100*25)</f>
        <v>18.75</v>
      </c>
      <c r="AR15" s="8">
        <v>100</v>
      </c>
      <c r="AS15" s="8">
        <v>100</v>
      </c>
      <c r="AT15" s="8">
        <v>100</v>
      </c>
      <c r="AU15" s="8"/>
      <c r="AV15" s="8"/>
      <c r="AW15" s="16">
        <f t="shared" ref="AW15:AW52" si="10">IFERROR(AVERAGE(AR15:AV15),"")</f>
        <v>100</v>
      </c>
      <c r="AX15" s="13">
        <f t="shared" ref="AX15:AX52" si="11">IF(AW15="","",AW15/100*10)</f>
        <v>10</v>
      </c>
      <c r="AY15" s="8">
        <v>41</v>
      </c>
      <c r="AZ15" s="13">
        <f>IF(AY15="","",AY15/50*20)</f>
        <v>16.399999999999999</v>
      </c>
      <c r="BA15" s="13"/>
      <c r="BB15" s="8"/>
      <c r="BC15" s="13" t="str">
        <f t="shared" ref="BC15:BC52" si="12">IF(BB15="","",BB15/100*10)</f>
        <v/>
      </c>
      <c r="BD15" s="8"/>
      <c r="BE15" s="13" t="str">
        <f>IF(BD15="","",BD15/50*10)</f>
        <v/>
      </c>
      <c r="BF15" s="14">
        <f t="shared" ref="BF15:BF52" si="13">SUM(AB15,AJ15,AQ15,AX15,AZ15,BC15,BE15)</f>
        <v>66.023076923076928</v>
      </c>
      <c r="BG15" s="15" t="str">
        <f t="shared" ref="BG15:BG52" si="14">IF(BF15=0,"—",IF(BF15&gt;=80,"A",IF(BF15&gt;=75,"B+",IF(BF15&gt;=70,"B",IF(BF15&gt;=65,"C+",IF(BF15&gt;=60,"C",IF(BF15&gt;=55,"D+",IF(BF15&gt;=50,"D","E/F"))))))))</f>
        <v>C+</v>
      </c>
      <c r="BH15" s="15" t="str">
        <f t="shared" ref="BH15:BH52" si="15">IF(BF15=0,"IN PROGRESS",IF(BF15&gt;=50,"PASS","NOT PASS"))</f>
        <v>PASS</v>
      </c>
    </row>
    <row r="16" spans="1:60" ht="16" customHeight="1" x14ac:dyDescent="0.2">
      <c r="A16" s="6">
        <v>2</v>
      </c>
      <c r="B16" s="6" t="s">
        <v>159</v>
      </c>
      <c r="C16" s="7" t="s">
        <v>160</v>
      </c>
      <c r="D16" s="6" t="s">
        <v>367</v>
      </c>
      <c r="E16" s="8" t="s">
        <v>362</v>
      </c>
      <c r="F16" s="8" t="s">
        <v>362</v>
      </c>
      <c r="G16" s="8" t="s">
        <v>362</v>
      </c>
      <c r="H16" s="8" t="s">
        <v>467</v>
      </c>
      <c r="I16" s="8" t="s">
        <v>362</v>
      </c>
      <c r="J16" s="8" t="s">
        <v>362</v>
      </c>
      <c r="K16" s="8" t="s">
        <v>362</v>
      </c>
      <c r="L16" s="8" t="s">
        <v>362</v>
      </c>
      <c r="M16" s="33"/>
      <c r="N16" s="8" t="s">
        <v>362</v>
      </c>
      <c r="O16" s="8" t="s">
        <v>362</v>
      </c>
      <c r="P16" s="8" t="s">
        <v>362</v>
      </c>
      <c r="Q16" s="8"/>
      <c r="R16" s="8"/>
      <c r="S16" s="8" t="s">
        <v>467</v>
      </c>
      <c r="T16" s="8"/>
      <c r="U16" s="33"/>
      <c r="V16" s="9">
        <f t="shared" si="0"/>
        <v>10</v>
      </c>
      <c r="W16" s="9">
        <f t="shared" si="1"/>
        <v>0</v>
      </c>
      <c r="X16" s="9">
        <f t="shared" si="2"/>
        <v>0</v>
      </c>
      <c r="Y16" s="9">
        <f t="shared" si="3"/>
        <v>2</v>
      </c>
      <c r="Z16" s="9">
        <f t="shared" si="4"/>
        <v>13</v>
      </c>
      <c r="AA16" s="10">
        <f t="shared" si="5"/>
        <v>0.76923076923076927</v>
      </c>
      <c r="AB16" s="11">
        <f t="shared" si="6"/>
        <v>7.6923076923076925</v>
      </c>
      <c r="AC16" s="12" t="str">
        <f t="shared" si="7"/>
        <v>OK</v>
      </c>
      <c r="AD16" s="8">
        <v>100</v>
      </c>
      <c r="AE16" s="8">
        <v>88</v>
      </c>
      <c r="AF16" s="8">
        <v>86</v>
      </c>
      <c r="AG16" s="8"/>
      <c r="AH16" s="8"/>
      <c r="AI16" s="16">
        <f t="shared" si="8"/>
        <v>91.333333333333329</v>
      </c>
      <c r="AJ16" s="13">
        <f t="shared" si="9"/>
        <v>13.7</v>
      </c>
      <c r="AK16" s="8">
        <v>100</v>
      </c>
      <c r="AL16" s="8">
        <v>100</v>
      </c>
      <c r="AM16" s="8">
        <v>100</v>
      </c>
      <c r="AN16" s="8">
        <v>100</v>
      </c>
      <c r="AO16" s="8"/>
      <c r="AP16" s="16">
        <f t="shared" ref="AP16:AP52" si="16">IFERROR(AVERAGE(AK16:AO16),"")</f>
        <v>100</v>
      </c>
      <c r="AQ16" s="13">
        <f t="shared" ref="AQ16:AQ52" si="17">IF(AP16="","",AP16/100*25)</f>
        <v>25</v>
      </c>
      <c r="AR16" s="8">
        <v>100</v>
      </c>
      <c r="AS16" s="8">
        <v>100</v>
      </c>
      <c r="AT16" s="8">
        <v>90</v>
      </c>
      <c r="AU16" s="8"/>
      <c r="AV16" s="8"/>
      <c r="AW16" s="16">
        <f t="shared" si="10"/>
        <v>96.666666666666671</v>
      </c>
      <c r="AX16" s="13">
        <f t="shared" si="11"/>
        <v>9.6666666666666661</v>
      </c>
      <c r="AY16" s="8">
        <v>43</v>
      </c>
      <c r="AZ16" s="13">
        <f t="shared" ref="AZ16:AZ52" si="18">IF(AY16="","",AY16/50*20)</f>
        <v>17.2</v>
      </c>
      <c r="BA16" s="13"/>
      <c r="BB16" s="8"/>
      <c r="BC16" s="13" t="str">
        <f t="shared" si="12"/>
        <v/>
      </c>
      <c r="BD16" s="8"/>
      <c r="BE16" s="13" t="str">
        <f t="shared" ref="BE16:BE52" si="19">IF(BD16="","",BD16/50*10)</f>
        <v/>
      </c>
      <c r="BF16" s="14">
        <f t="shared" si="13"/>
        <v>73.258974358974356</v>
      </c>
      <c r="BG16" s="15" t="str">
        <f t="shared" si="14"/>
        <v>B</v>
      </c>
      <c r="BH16" s="15" t="str">
        <f t="shared" si="15"/>
        <v>PASS</v>
      </c>
    </row>
    <row r="17" spans="1:60" ht="16" customHeight="1" x14ac:dyDescent="0.2">
      <c r="A17" s="6">
        <v>3</v>
      </c>
      <c r="B17" s="6" t="s">
        <v>161</v>
      </c>
      <c r="C17" s="7" t="s">
        <v>162</v>
      </c>
      <c r="D17" s="6" t="s">
        <v>368</v>
      </c>
      <c r="E17" s="8" t="s">
        <v>362</v>
      </c>
      <c r="F17" s="8" t="s">
        <v>364</v>
      </c>
      <c r="G17" s="8" t="s">
        <v>362</v>
      </c>
      <c r="H17" s="8" t="s">
        <v>467</v>
      </c>
      <c r="I17" s="8" t="s">
        <v>362</v>
      </c>
      <c r="J17" s="8" t="s">
        <v>362</v>
      </c>
      <c r="K17" s="8" t="s">
        <v>362</v>
      </c>
      <c r="L17" s="8" t="s">
        <v>362</v>
      </c>
      <c r="M17" s="33"/>
      <c r="N17" s="8" t="s">
        <v>362</v>
      </c>
      <c r="O17" s="8" t="s">
        <v>362</v>
      </c>
      <c r="P17" s="8" t="s">
        <v>364</v>
      </c>
      <c r="Q17" s="8"/>
      <c r="R17" s="8"/>
      <c r="S17" s="8" t="s">
        <v>467</v>
      </c>
      <c r="T17" s="8"/>
      <c r="U17" s="33"/>
      <c r="V17" s="9">
        <f t="shared" si="0"/>
        <v>8</v>
      </c>
      <c r="W17" s="9">
        <f t="shared" si="1"/>
        <v>2</v>
      </c>
      <c r="X17" s="9">
        <f t="shared" si="2"/>
        <v>0</v>
      </c>
      <c r="Y17" s="9">
        <f t="shared" si="3"/>
        <v>2</v>
      </c>
      <c r="Z17" s="9">
        <f t="shared" si="4"/>
        <v>13</v>
      </c>
      <c r="AA17" s="10">
        <f t="shared" si="5"/>
        <v>0.61538461538461542</v>
      </c>
      <c r="AB17" s="11">
        <f t="shared" si="6"/>
        <v>6.1538461538461542</v>
      </c>
      <c r="AC17" s="12" t="str">
        <f t="shared" si="7"/>
        <v>OK</v>
      </c>
      <c r="AD17" s="8">
        <v>100</v>
      </c>
      <c r="AE17" s="8">
        <v>88</v>
      </c>
      <c r="AF17" s="8">
        <v>94</v>
      </c>
      <c r="AG17" s="8"/>
      <c r="AH17" s="8"/>
      <c r="AI17" s="16">
        <f t="shared" si="8"/>
        <v>94</v>
      </c>
      <c r="AJ17" s="13">
        <f t="shared" si="9"/>
        <v>14.1</v>
      </c>
      <c r="AK17" s="8">
        <v>100</v>
      </c>
      <c r="AL17" s="8">
        <v>100</v>
      </c>
      <c r="AM17" s="8">
        <v>100</v>
      </c>
      <c r="AN17" s="8">
        <v>0</v>
      </c>
      <c r="AO17" s="8"/>
      <c r="AP17" s="16">
        <f t="shared" si="16"/>
        <v>75</v>
      </c>
      <c r="AQ17" s="13">
        <f t="shared" si="17"/>
        <v>18.75</v>
      </c>
      <c r="AR17" s="8">
        <v>100</v>
      </c>
      <c r="AS17" s="8">
        <v>100</v>
      </c>
      <c r="AT17" s="8">
        <v>90</v>
      </c>
      <c r="AU17" s="8"/>
      <c r="AV17" s="8"/>
      <c r="AW17" s="16">
        <f t="shared" si="10"/>
        <v>96.666666666666671</v>
      </c>
      <c r="AX17" s="13">
        <f t="shared" si="11"/>
        <v>9.6666666666666661</v>
      </c>
      <c r="AY17" s="8">
        <v>50</v>
      </c>
      <c r="AZ17" s="13">
        <f t="shared" si="18"/>
        <v>20</v>
      </c>
      <c r="BA17" s="13"/>
      <c r="BB17" s="8"/>
      <c r="BC17" s="13" t="str">
        <f t="shared" si="12"/>
        <v/>
      </c>
      <c r="BD17" s="8"/>
      <c r="BE17" s="13" t="str">
        <f t="shared" si="19"/>
        <v/>
      </c>
      <c r="BF17" s="14">
        <f t="shared" si="13"/>
        <v>68.670512820512812</v>
      </c>
      <c r="BG17" s="15" t="str">
        <f t="shared" si="14"/>
        <v>C+</v>
      </c>
      <c r="BH17" s="15" t="str">
        <f t="shared" si="15"/>
        <v>PASS</v>
      </c>
    </row>
    <row r="18" spans="1:60" ht="16" customHeight="1" x14ac:dyDescent="0.2">
      <c r="A18" s="6">
        <v>4</v>
      </c>
      <c r="B18" s="6" t="s">
        <v>163</v>
      </c>
      <c r="C18" s="7" t="s">
        <v>494</v>
      </c>
      <c r="D18" s="6" t="s">
        <v>369</v>
      </c>
      <c r="E18" s="8" t="s">
        <v>362</v>
      </c>
      <c r="F18" s="8" t="s">
        <v>362</v>
      </c>
      <c r="G18" s="8" t="s">
        <v>364</v>
      </c>
      <c r="H18" s="8" t="s">
        <v>467</v>
      </c>
      <c r="I18" s="8" t="s">
        <v>362</v>
      </c>
      <c r="J18" s="8" t="s">
        <v>362</v>
      </c>
      <c r="K18" s="8" t="s">
        <v>362</v>
      </c>
      <c r="L18" s="8" t="s">
        <v>362</v>
      </c>
      <c r="M18" s="33"/>
      <c r="N18" s="8" t="s">
        <v>362</v>
      </c>
      <c r="O18" s="8" t="s">
        <v>362</v>
      </c>
      <c r="P18" s="8" t="s">
        <v>362</v>
      </c>
      <c r="Q18" s="8"/>
      <c r="R18" s="8"/>
      <c r="S18" s="8" t="s">
        <v>467</v>
      </c>
      <c r="T18" s="8"/>
      <c r="U18" s="33"/>
      <c r="V18" s="9">
        <f t="shared" si="0"/>
        <v>9</v>
      </c>
      <c r="W18" s="9">
        <f t="shared" si="1"/>
        <v>1</v>
      </c>
      <c r="X18" s="9">
        <f t="shared" si="2"/>
        <v>0</v>
      </c>
      <c r="Y18" s="9">
        <f t="shared" si="3"/>
        <v>2</v>
      </c>
      <c r="Z18" s="9">
        <f t="shared" si="4"/>
        <v>13</v>
      </c>
      <c r="AA18" s="10">
        <f t="shared" si="5"/>
        <v>0.69230769230769229</v>
      </c>
      <c r="AB18" s="11">
        <f t="shared" si="6"/>
        <v>6.9230769230769234</v>
      </c>
      <c r="AC18" s="12" t="str">
        <f t="shared" si="7"/>
        <v>OK</v>
      </c>
      <c r="AD18" s="8">
        <v>100</v>
      </c>
      <c r="AE18" s="8">
        <v>0</v>
      </c>
      <c r="AF18" s="8">
        <v>88</v>
      </c>
      <c r="AG18" s="8"/>
      <c r="AH18" s="8"/>
      <c r="AI18" s="16">
        <f t="shared" si="8"/>
        <v>62.666666666666664</v>
      </c>
      <c r="AJ18" s="13">
        <f t="shared" si="9"/>
        <v>9.3999999999999986</v>
      </c>
      <c r="AK18" s="8">
        <v>100</v>
      </c>
      <c r="AL18" s="8">
        <v>100</v>
      </c>
      <c r="AM18" s="8">
        <v>100</v>
      </c>
      <c r="AN18" s="8">
        <v>100</v>
      </c>
      <c r="AO18" s="8"/>
      <c r="AP18" s="16">
        <f t="shared" si="16"/>
        <v>100</v>
      </c>
      <c r="AQ18" s="13">
        <f t="shared" si="17"/>
        <v>25</v>
      </c>
      <c r="AR18" s="8">
        <v>100</v>
      </c>
      <c r="AS18" s="8">
        <v>0</v>
      </c>
      <c r="AT18" s="8">
        <v>100</v>
      </c>
      <c r="AU18" s="8"/>
      <c r="AV18" s="8"/>
      <c r="AW18" s="16">
        <f t="shared" si="10"/>
        <v>66.666666666666671</v>
      </c>
      <c r="AX18" s="13">
        <f t="shared" si="11"/>
        <v>6.6666666666666679</v>
      </c>
      <c r="AY18" s="8">
        <v>47</v>
      </c>
      <c r="AZ18" s="13">
        <f t="shared" si="18"/>
        <v>18.799999999999997</v>
      </c>
      <c r="BA18" s="13"/>
      <c r="BB18" s="8"/>
      <c r="BC18" s="13" t="str">
        <f t="shared" si="12"/>
        <v/>
      </c>
      <c r="BD18" s="8"/>
      <c r="BE18" s="13" t="str">
        <f t="shared" si="19"/>
        <v/>
      </c>
      <c r="BF18" s="14">
        <f t="shared" si="13"/>
        <v>66.789743589743594</v>
      </c>
      <c r="BG18" s="15" t="str">
        <f t="shared" si="14"/>
        <v>C+</v>
      </c>
      <c r="BH18" s="15" t="str">
        <f t="shared" si="15"/>
        <v>PASS</v>
      </c>
    </row>
    <row r="19" spans="1:60" ht="16" customHeight="1" x14ac:dyDescent="0.2">
      <c r="A19" s="6">
        <v>5</v>
      </c>
      <c r="B19" s="6" t="s">
        <v>164</v>
      </c>
      <c r="C19" s="7" t="s">
        <v>165</v>
      </c>
      <c r="D19" s="6" t="s">
        <v>370</v>
      </c>
      <c r="E19" s="8" t="s">
        <v>362</v>
      </c>
      <c r="F19" s="8" t="s">
        <v>362</v>
      </c>
      <c r="G19" s="8" t="s">
        <v>362</v>
      </c>
      <c r="H19" s="8" t="s">
        <v>467</v>
      </c>
      <c r="I19" s="8" t="s">
        <v>362</v>
      </c>
      <c r="J19" s="8" t="s">
        <v>362</v>
      </c>
      <c r="K19" s="8" t="s">
        <v>364</v>
      </c>
      <c r="L19" s="8" t="s">
        <v>362</v>
      </c>
      <c r="M19" s="33"/>
      <c r="N19" s="8" t="s">
        <v>362</v>
      </c>
      <c r="O19" s="8" t="s">
        <v>362</v>
      </c>
      <c r="P19" s="8" t="s">
        <v>362</v>
      </c>
      <c r="Q19" s="8"/>
      <c r="R19" s="8"/>
      <c r="S19" s="8" t="s">
        <v>467</v>
      </c>
      <c r="T19" s="8"/>
      <c r="U19" s="33"/>
      <c r="V19" s="9">
        <f t="shared" si="0"/>
        <v>9</v>
      </c>
      <c r="W19" s="9">
        <f t="shared" si="1"/>
        <v>1</v>
      </c>
      <c r="X19" s="9">
        <f t="shared" si="2"/>
        <v>0</v>
      </c>
      <c r="Y19" s="9">
        <f t="shared" si="3"/>
        <v>2</v>
      </c>
      <c r="Z19" s="9">
        <f t="shared" si="4"/>
        <v>13</v>
      </c>
      <c r="AA19" s="10">
        <f t="shared" si="5"/>
        <v>0.69230769230769229</v>
      </c>
      <c r="AB19" s="11">
        <f t="shared" si="6"/>
        <v>6.9230769230769234</v>
      </c>
      <c r="AC19" s="12" t="str">
        <f t="shared" si="7"/>
        <v>OK</v>
      </c>
      <c r="AD19" s="8">
        <v>100</v>
      </c>
      <c r="AE19" s="8">
        <v>88</v>
      </c>
      <c r="AF19" s="8">
        <v>63</v>
      </c>
      <c r="AG19" s="8"/>
      <c r="AH19" s="8"/>
      <c r="AI19" s="16">
        <f t="shared" si="8"/>
        <v>83.666666666666671</v>
      </c>
      <c r="AJ19" s="13">
        <f t="shared" si="9"/>
        <v>12.55</v>
      </c>
      <c r="AK19" s="8">
        <v>100</v>
      </c>
      <c r="AL19" s="8">
        <v>0</v>
      </c>
      <c r="AM19" s="8">
        <v>100</v>
      </c>
      <c r="AN19" s="8">
        <v>100</v>
      </c>
      <c r="AO19" s="8"/>
      <c r="AP19" s="16">
        <f t="shared" si="16"/>
        <v>75</v>
      </c>
      <c r="AQ19" s="13">
        <f t="shared" si="17"/>
        <v>18.75</v>
      </c>
      <c r="AR19" s="8">
        <v>100</v>
      </c>
      <c r="AS19" s="8">
        <v>100</v>
      </c>
      <c r="AT19" s="8">
        <v>80</v>
      </c>
      <c r="AU19" s="8"/>
      <c r="AV19" s="8"/>
      <c r="AW19" s="16">
        <f t="shared" si="10"/>
        <v>93.333333333333329</v>
      </c>
      <c r="AX19" s="13">
        <f t="shared" si="11"/>
        <v>9.3333333333333321</v>
      </c>
      <c r="AY19" s="8">
        <v>45</v>
      </c>
      <c r="AZ19" s="13">
        <f t="shared" si="18"/>
        <v>18</v>
      </c>
      <c r="BA19" s="13"/>
      <c r="BB19" s="8"/>
      <c r="BC19" s="13" t="str">
        <f t="shared" si="12"/>
        <v/>
      </c>
      <c r="BD19" s="8"/>
      <c r="BE19" s="13" t="str">
        <f t="shared" si="19"/>
        <v/>
      </c>
      <c r="BF19" s="14">
        <f t="shared" si="13"/>
        <v>65.55641025641026</v>
      </c>
      <c r="BG19" s="15" t="str">
        <f t="shared" si="14"/>
        <v>C+</v>
      </c>
      <c r="BH19" s="15" t="str">
        <f t="shared" si="15"/>
        <v>PASS</v>
      </c>
    </row>
    <row r="20" spans="1:60" ht="16" customHeight="1" x14ac:dyDescent="0.2">
      <c r="A20" s="6">
        <v>6</v>
      </c>
      <c r="B20" s="6" t="s">
        <v>166</v>
      </c>
      <c r="C20" s="7" t="s">
        <v>167</v>
      </c>
      <c r="D20" s="6" t="s">
        <v>371</v>
      </c>
      <c r="E20" s="8" t="s">
        <v>362</v>
      </c>
      <c r="F20" s="8" t="s">
        <v>362</v>
      </c>
      <c r="G20" s="8" t="s">
        <v>362</v>
      </c>
      <c r="H20" s="8" t="s">
        <v>467</v>
      </c>
      <c r="I20" s="8" t="s">
        <v>362</v>
      </c>
      <c r="J20" s="8" t="s">
        <v>362</v>
      </c>
      <c r="K20" s="8" t="s">
        <v>362</v>
      </c>
      <c r="L20" s="8" t="s">
        <v>362</v>
      </c>
      <c r="M20" s="33"/>
      <c r="N20" s="8" t="s">
        <v>362</v>
      </c>
      <c r="O20" s="8" t="s">
        <v>362</v>
      </c>
      <c r="P20" s="8" t="s">
        <v>362</v>
      </c>
      <c r="Q20" s="8"/>
      <c r="R20" s="8"/>
      <c r="S20" s="8" t="s">
        <v>467</v>
      </c>
      <c r="T20" s="8"/>
      <c r="U20" s="33"/>
      <c r="V20" s="9">
        <f t="shared" si="0"/>
        <v>10</v>
      </c>
      <c r="W20" s="9">
        <f t="shared" si="1"/>
        <v>0</v>
      </c>
      <c r="X20" s="9">
        <f t="shared" si="2"/>
        <v>0</v>
      </c>
      <c r="Y20" s="9">
        <f t="shared" si="3"/>
        <v>2</v>
      </c>
      <c r="Z20" s="9">
        <f t="shared" si="4"/>
        <v>13</v>
      </c>
      <c r="AA20" s="10">
        <f t="shared" si="5"/>
        <v>0.76923076923076927</v>
      </c>
      <c r="AB20" s="11">
        <f t="shared" si="6"/>
        <v>7.6923076923076925</v>
      </c>
      <c r="AC20" s="12" t="str">
        <f t="shared" si="7"/>
        <v>OK</v>
      </c>
      <c r="AD20" s="8">
        <v>100</v>
      </c>
      <c r="AE20" s="8">
        <v>88</v>
      </c>
      <c r="AF20" s="8">
        <v>80</v>
      </c>
      <c r="AG20" s="8"/>
      <c r="AH20" s="8"/>
      <c r="AI20" s="16">
        <f t="shared" si="8"/>
        <v>89.333333333333329</v>
      </c>
      <c r="AJ20" s="13">
        <f t="shared" si="9"/>
        <v>13.4</v>
      </c>
      <c r="AK20" s="8">
        <v>100</v>
      </c>
      <c r="AL20" s="8">
        <v>100</v>
      </c>
      <c r="AM20" s="8">
        <v>100</v>
      </c>
      <c r="AN20" s="8">
        <v>100</v>
      </c>
      <c r="AO20" s="8"/>
      <c r="AP20" s="16">
        <f t="shared" si="16"/>
        <v>100</v>
      </c>
      <c r="AQ20" s="13">
        <f t="shared" si="17"/>
        <v>25</v>
      </c>
      <c r="AR20" s="8">
        <v>100</v>
      </c>
      <c r="AS20" s="8">
        <v>100</v>
      </c>
      <c r="AT20" s="8">
        <v>100</v>
      </c>
      <c r="AU20" s="8"/>
      <c r="AV20" s="8"/>
      <c r="AW20" s="16">
        <f t="shared" si="10"/>
        <v>100</v>
      </c>
      <c r="AX20" s="13">
        <f t="shared" si="11"/>
        <v>10</v>
      </c>
      <c r="AY20" s="8">
        <v>50</v>
      </c>
      <c r="AZ20" s="13">
        <f t="shared" si="18"/>
        <v>20</v>
      </c>
      <c r="BA20" s="13"/>
      <c r="BB20" s="8"/>
      <c r="BC20" s="13" t="str">
        <f t="shared" si="12"/>
        <v/>
      </c>
      <c r="BD20" s="8"/>
      <c r="BE20" s="13" t="str">
        <f t="shared" si="19"/>
        <v/>
      </c>
      <c r="BF20" s="14">
        <f t="shared" si="13"/>
        <v>76.092307692307685</v>
      </c>
      <c r="BG20" s="15" t="str">
        <f t="shared" si="14"/>
        <v>B+</v>
      </c>
      <c r="BH20" s="15" t="str">
        <f t="shared" si="15"/>
        <v>PASS</v>
      </c>
    </row>
    <row r="21" spans="1:60" ht="16" customHeight="1" x14ac:dyDescent="0.2">
      <c r="A21" s="6">
        <v>7</v>
      </c>
      <c r="B21" s="6" t="s">
        <v>168</v>
      </c>
      <c r="C21" s="7" t="s">
        <v>169</v>
      </c>
      <c r="D21" s="6" t="s">
        <v>372</v>
      </c>
      <c r="E21" s="8" t="s">
        <v>362</v>
      </c>
      <c r="F21" s="8" t="s">
        <v>362</v>
      </c>
      <c r="G21" s="8" t="s">
        <v>362</v>
      </c>
      <c r="H21" s="8" t="s">
        <v>467</v>
      </c>
      <c r="I21" s="8" t="s">
        <v>362</v>
      </c>
      <c r="J21" s="8" t="s">
        <v>362</v>
      </c>
      <c r="K21" s="8" t="s">
        <v>362</v>
      </c>
      <c r="L21" s="8" t="s">
        <v>362</v>
      </c>
      <c r="M21" s="33"/>
      <c r="N21" s="8" t="s">
        <v>362</v>
      </c>
      <c r="O21" s="8" t="s">
        <v>362</v>
      </c>
      <c r="P21" s="8" t="s">
        <v>362</v>
      </c>
      <c r="Q21" s="8"/>
      <c r="R21" s="8"/>
      <c r="S21" s="8" t="s">
        <v>467</v>
      </c>
      <c r="T21" s="8"/>
      <c r="U21" s="33"/>
      <c r="V21" s="9">
        <f t="shared" si="0"/>
        <v>10</v>
      </c>
      <c r="W21" s="9">
        <f t="shared" si="1"/>
        <v>0</v>
      </c>
      <c r="X21" s="9">
        <f t="shared" si="2"/>
        <v>0</v>
      </c>
      <c r="Y21" s="9">
        <f t="shared" si="3"/>
        <v>2</v>
      </c>
      <c r="Z21" s="9">
        <f t="shared" si="4"/>
        <v>13</v>
      </c>
      <c r="AA21" s="10">
        <f t="shared" si="5"/>
        <v>0.76923076923076927</v>
      </c>
      <c r="AB21" s="11">
        <f t="shared" si="6"/>
        <v>7.6923076923076925</v>
      </c>
      <c r="AC21" s="12" t="str">
        <f t="shared" si="7"/>
        <v>OK</v>
      </c>
      <c r="AD21" s="8">
        <v>100</v>
      </c>
      <c r="AE21" s="8">
        <v>88</v>
      </c>
      <c r="AF21" s="8">
        <v>89</v>
      </c>
      <c r="AG21" s="8"/>
      <c r="AH21" s="8"/>
      <c r="AI21" s="16">
        <f t="shared" si="8"/>
        <v>92.333333333333329</v>
      </c>
      <c r="AJ21" s="13">
        <f t="shared" si="9"/>
        <v>13.85</v>
      </c>
      <c r="AK21" s="8">
        <v>100</v>
      </c>
      <c r="AL21" s="8">
        <v>100</v>
      </c>
      <c r="AM21" s="8">
        <v>100</v>
      </c>
      <c r="AN21" s="8">
        <v>100</v>
      </c>
      <c r="AO21" s="8"/>
      <c r="AP21" s="16">
        <f t="shared" si="16"/>
        <v>100</v>
      </c>
      <c r="AQ21" s="13">
        <f t="shared" si="17"/>
        <v>25</v>
      </c>
      <c r="AR21" s="8">
        <v>100</v>
      </c>
      <c r="AS21" s="8">
        <v>100</v>
      </c>
      <c r="AT21" s="8">
        <v>100</v>
      </c>
      <c r="AU21" s="8"/>
      <c r="AV21" s="8"/>
      <c r="AW21" s="16">
        <f t="shared" si="10"/>
        <v>100</v>
      </c>
      <c r="AX21" s="13">
        <f t="shared" si="11"/>
        <v>10</v>
      </c>
      <c r="AY21" s="8">
        <v>42</v>
      </c>
      <c r="AZ21" s="13">
        <f t="shared" si="18"/>
        <v>16.8</v>
      </c>
      <c r="BA21" s="13"/>
      <c r="BB21" s="8"/>
      <c r="BC21" s="13" t="str">
        <f t="shared" si="12"/>
        <v/>
      </c>
      <c r="BD21" s="8"/>
      <c r="BE21" s="13" t="str">
        <f t="shared" si="19"/>
        <v/>
      </c>
      <c r="BF21" s="14">
        <f t="shared" si="13"/>
        <v>73.342307692307685</v>
      </c>
      <c r="BG21" s="15" t="str">
        <f t="shared" si="14"/>
        <v>B</v>
      </c>
      <c r="BH21" s="15" t="str">
        <f t="shared" si="15"/>
        <v>PASS</v>
      </c>
    </row>
    <row r="22" spans="1:60" ht="16" customHeight="1" x14ac:dyDescent="0.2">
      <c r="A22" s="6">
        <v>8</v>
      </c>
      <c r="B22" s="6" t="s">
        <v>170</v>
      </c>
      <c r="C22" s="7" t="s">
        <v>171</v>
      </c>
      <c r="D22" s="6" t="s">
        <v>373</v>
      </c>
      <c r="E22" s="8" t="s">
        <v>403</v>
      </c>
      <c r="F22" s="8" t="s">
        <v>403</v>
      </c>
      <c r="G22" s="8" t="s">
        <v>403</v>
      </c>
      <c r="H22" s="8" t="s">
        <v>467</v>
      </c>
      <c r="I22" s="8" t="s">
        <v>362</v>
      </c>
      <c r="J22" s="8" t="s">
        <v>362</v>
      </c>
      <c r="K22" s="8" t="s">
        <v>362</v>
      </c>
      <c r="L22" s="8" t="s">
        <v>362</v>
      </c>
      <c r="M22" s="33"/>
      <c r="N22" s="8" t="s">
        <v>362</v>
      </c>
      <c r="O22" s="8" t="s">
        <v>362</v>
      </c>
      <c r="P22" s="8" t="s">
        <v>362</v>
      </c>
      <c r="Q22" s="8"/>
      <c r="R22" s="8"/>
      <c r="S22" s="8" t="s">
        <v>467</v>
      </c>
      <c r="T22" s="8"/>
      <c r="U22" s="33"/>
      <c r="V22" s="9">
        <f t="shared" si="0"/>
        <v>7</v>
      </c>
      <c r="W22" s="9">
        <f t="shared" si="1"/>
        <v>0</v>
      </c>
      <c r="X22" s="9">
        <f t="shared" si="2"/>
        <v>3</v>
      </c>
      <c r="Y22" s="9">
        <f t="shared" si="3"/>
        <v>2</v>
      </c>
      <c r="Z22" s="9">
        <f t="shared" si="4"/>
        <v>13</v>
      </c>
      <c r="AA22" s="10">
        <f t="shared" si="5"/>
        <v>0.76923076923076927</v>
      </c>
      <c r="AB22" s="11">
        <f t="shared" si="6"/>
        <v>7.6923076923076925</v>
      </c>
      <c r="AC22" s="12" t="str">
        <f t="shared" si="7"/>
        <v>OK</v>
      </c>
      <c r="AD22" s="8">
        <v>100</v>
      </c>
      <c r="AE22" s="8">
        <v>80</v>
      </c>
      <c r="AF22" s="8">
        <v>73</v>
      </c>
      <c r="AG22" s="8"/>
      <c r="AH22" s="8"/>
      <c r="AI22" s="16">
        <f t="shared" si="8"/>
        <v>84.333333333333329</v>
      </c>
      <c r="AJ22" s="13">
        <f t="shared" si="9"/>
        <v>12.649999999999999</v>
      </c>
      <c r="AK22" s="8">
        <v>100</v>
      </c>
      <c r="AL22" s="8">
        <v>100</v>
      </c>
      <c r="AM22" s="8">
        <v>100</v>
      </c>
      <c r="AN22" s="8">
        <v>100</v>
      </c>
      <c r="AO22" s="8"/>
      <c r="AP22" s="16">
        <f t="shared" si="16"/>
        <v>100</v>
      </c>
      <c r="AQ22" s="13">
        <f t="shared" si="17"/>
        <v>25</v>
      </c>
      <c r="AR22" s="8">
        <v>0</v>
      </c>
      <c r="AS22" s="8">
        <v>80</v>
      </c>
      <c r="AT22" s="8">
        <v>90</v>
      </c>
      <c r="AU22" s="8"/>
      <c r="AV22" s="8"/>
      <c r="AW22" s="16">
        <f t="shared" si="10"/>
        <v>56.666666666666664</v>
      </c>
      <c r="AX22" s="13">
        <f t="shared" si="11"/>
        <v>5.6666666666666661</v>
      </c>
      <c r="AY22" s="8">
        <v>39</v>
      </c>
      <c r="AZ22" s="13">
        <f t="shared" si="18"/>
        <v>15.600000000000001</v>
      </c>
      <c r="BA22" s="13"/>
      <c r="BB22" s="8"/>
      <c r="BC22" s="13" t="str">
        <f t="shared" si="12"/>
        <v/>
      </c>
      <c r="BD22" s="8"/>
      <c r="BE22" s="13" t="str">
        <f t="shared" si="19"/>
        <v/>
      </c>
      <c r="BF22" s="14">
        <f t="shared" si="13"/>
        <v>66.608974358974365</v>
      </c>
      <c r="BG22" s="15" t="str">
        <f t="shared" si="14"/>
        <v>C+</v>
      </c>
      <c r="BH22" s="15" t="str">
        <f t="shared" si="15"/>
        <v>PASS</v>
      </c>
    </row>
    <row r="23" spans="1:60" ht="16" customHeight="1" x14ac:dyDescent="0.2">
      <c r="A23" s="6">
        <v>9</v>
      </c>
      <c r="B23" s="6" t="s">
        <v>172</v>
      </c>
      <c r="C23" s="7" t="s">
        <v>173</v>
      </c>
      <c r="D23" s="6" t="s">
        <v>493</v>
      </c>
      <c r="E23" s="8" t="s">
        <v>362</v>
      </c>
      <c r="F23" s="8" t="s">
        <v>362</v>
      </c>
      <c r="G23" s="8" t="s">
        <v>362</v>
      </c>
      <c r="H23" s="8" t="s">
        <v>467</v>
      </c>
      <c r="I23" s="8" t="s">
        <v>362</v>
      </c>
      <c r="J23" s="8" t="s">
        <v>362</v>
      </c>
      <c r="K23" s="8" t="s">
        <v>362</v>
      </c>
      <c r="L23" s="8" t="s">
        <v>362</v>
      </c>
      <c r="M23" s="33"/>
      <c r="N23" s="8" t="s">
        <v>362</v>
      </c>
      <c r="O23" s="8" t="s">
        <v>362</v>
      </c>
      <c r="P23" s="8" t="s">
        <v>364</v>
      </c>
      <c r="Q23" s="8"/>
      <c r="R23" s="8"/>
      <c r="S23" s="8" t="s">
        <v>467</v>
      </c>
      <c r="T23" s="8"/>
      <c r="U23" s="33"/>
      <c r="V23" s="9">
        <f t="shared" si="0"/>
        <v>9</v>
      </c>
      <c r="W23" s="9">
        <f t="shared" si="1"/>
        <v>1</v>
      </c>
      <c r="X23" s="9">
        <f t="shared" si="2"/>
        <v>0</v>
      </c>
      <c r="Y23" s="9">
        <f t="shared" si="3"/>
        <v>2</v>
      </c>
      <c r="Z23" s="9">
        <f t="shared" si="4"/>
        <v>13</v>
      </c>
      <c r="AA23" s="10">
        <f t="shared" si="5"/>
        <v>0.69230769230769229</v>
      </c>
      <c r="AB23" s="11">
        <f t="shared" si="6"/>
        <v>6.9230769230769234</v>
      </c>
      <c r="AC23" s="12" t="str">
        <f t="shared" si="7"/>
        <v>OK</v>
      </c>
      <c r="AD23" s="8">
        <v>100</v>
      </c>
      <c r="AE23" s="8">
        <v>88</v>
      </c>
      <c r="AF23" s="8">
        <v>91</v>
      </c>
      <c r="AG23" s="8"/>
      <c r="AH23" s="8"/>
      <c r="AI23" s="16">
        <f t="shared" si="8"/>
        <v>93</v>
      </c>
      <c r="AJ23" s="13">
        <f t="shared" si="9"/>
        <v>13.950000000000001</v>
      </c>
      <c r="AK23" s="8">
        <v>100</v>
      </c>
      <c r="AL23" s="8">
        <v>100</v>
      </c>
      <c r="AM23" s="8">
        <v>100</v>
      </c>
      <c r="AN23" s="8">
        <v>0</v>
      </c>
      <c r="AO23" s="8"/>
      <c r="AP23" s="16">
        <f t="shared" si="16"/>
        <v>75</v>
      </c>
      <c r="AQ23" s="13">
        <f t="shared" si="17"/>
        <v>18.75</v>
      </c>
      <c r="AR23" s="8">
        <v>100</v>
      </c>
      <c r="AS23" s="8">
        <v>100</v>
      </c>
      <c r="AT23" s="8">
        <v>100</v>
      </c>
      <c r="AU23" s="8"/>
      <c r="AV23" s="8"/>
      <c r="AW23" s="16">
        <f t="shared" si="10"/>
        <v>100</v>
      </c>
      <c r="AX23" s="13">
        <f t="shared" si="11"/>
        <v>10</v>
      </c>
      <c r="AY23" s="8">
        <v>45</v>
      </c>
      <c r="AZ23" s="13">
        <f t="shared" si="18"/>
        <v>18</v>
      </c>
      <c r="BA23" s="13"/>
      <c r="BB23" s="8"/>
      <c r="BC23" s="13" t="str">
        <f t="shared" si="12"/>
        <v/>
      </c>
      <c r="BD23" s="8"/>
      <c r="BE23" s="13" t="str">
        <f t="shared" si="19"/>
        <v/>
      </c>
      <c r="BF23" s="14">
        <f t="shared" si="13"/>
        <v>67.623076923076923</v>
      </c>
      <c r="BG23" s="15" t="str">
        <f t="shared" si="14"/>
        <v>C+</v>
      </c>
      <c r="BH23" s="15" t="str">
        <f t="shared" si="15"/>
        <v>PASS</v>
      </c>
    </row>
    <row r="24" spans="1:60" ht="16" customHeight="1" x14ac:dyDescent="0.2">
      <c r="A24" s="6">
        <v>10</v>
      </c>
      <c r="B24" s="6" t="s">
        <v>174</v>
      </c>
      <c r="C24" s="7" t="s">
        <v>175</v>
      </c>
      <c r="D24" s="6" t="s">
        <v>375</v>
      </c>
      <c r="E24" s="8" t="s">
        <v>362</v>
      </c>
      <c r="F24" s="8" t="s">
        <v>362</v>
      </c>
      <c r="G24" s="8" t="s">
        <v>362</v>
      </c>
      <c r="H24" s="8" t="s">
        <v>467</v>
      </c>
      <c r="I24" s="8" t="s">
        <v>362</v>
      </c>
      <c r="J24" s="8" t="s">
        <v>403</v>
      </c>
      <c r="K24" s="8" t="s">
        <v>362</v>
      </c>
      <c r="L24" s="8" t="s">
        <v>362</v>
      </c>
      <c r="M24" s="33"/>
      <c r="N24" s="8" t="s">
        <v>362</v>
      </c>
      <c r="O24" s="8" t="s">
        <v>362</v>
      </c>
      <c r="P24" s="8" t="s">
        <v>362</v>
      </c>
      <c r="Q24" s="8"/>
      <c r="R24" s="8"/>
      <c r="S24" s="8" t="s">
        <v>467</v>
      </c>
      <c r="T24" s="8"/>
      <c r="U24" s="33"/>
      <c r="V24" s="9">
        <f t="shared" si="0"/>
        <v>9</v>
      </c>
      <c r="W24" s="9">
        <f t="shared" si="1"/>
        <v>0</v>
      </c>
      <c r="X24" s="9">
        <f t="shared" si="2"/>
        <v>1</v>
      </c>
      <c r="Y24" s="9">
        <f t="shared" si="3"/>
        <v>2</v>
      </c>
      <c r="Z24" s="9">
        <f t="shared" si="4"/>
        <v>13</v>
      </c>
      <c r="AA24" s="10">
        <f t="shared" si="5"/>
        <v>0.76923076923076927</v>
      </c>
      <c r="AB24" s="11">
        <f t="shared" si="6"/>
        <v>7.6923076923076925</v>
      </c>
      <c r="AC24" s="12" t="str">
        <f t="shared" si="7"/>
        <v>OK</v>
      </c>
      <c r="AD24" s="8">
        <v>100</v>
      </c>
      <c r="AE24" s="8">
        <v>88</v>
      </c>
      <c r="AF24" s="8">
        <v>0</v>
      </c>
      <c r="AG24" s="8"/>
      <c r="AH24" s="8"/>
      <c r="AI24" s="16">
        <f t="shared" si="8"/>
        <v>62.666666666666664</v>
      </c>
      <c r="AJ24" s="13">
        <f t="shared" si="9"/>
        <v>9.3999999999999986</v>
      </c>
      <c r="AK24" s="8">
        <v>100</v>
      </c>
      <c r="AL24" s="8">
        <v>100</v>
      </c>
      <c r="AM24" s="8">
        <v>100</v>
      </c>
      <c r="AN24" s="8">
        <v>100</v>
      </c>
      <c r="AO24" s="8"/>
      <c r="AP24" s="16">
        <f t="shared" si="16"/>
        <v>100</v>
      </c>
      <c r="AQ24" s="13">
        <f t="shared" si="17"/>
        <v>25</v>
      </c>
      <c r="AR24" s="8">
        <v>100</v>
      </c>
      <c r="AS24" s="8">
        <v>100</v>
      </c>
      <c r="AT24" s="8">
        <v>80</v>
      </c>
      <c r="AU24" s="8"/>
      <c r="AV24" s="8"/>
      <c r="AW24" s="16">
        <f t="shared" si="10"/>
        <v>93.333333333333329</v>
      </c>
      <c r="AX24" s="13">
        <f t="shared" si="11"/>
        <v>9.3333333333333321</v>
      </c>
      <c r="AY24" s="8">
        <v>46</v>
      </c>
      <c r="AZ24" s="13">
        <f t="shared" si="18"/>
        <v>18.400000000000002</v>
      </c>
      <c r="BA24" s="13"/>
      <c r="BB24" s="8"/>
      <c r="BC24" s="13" t="str">
        <f t="shared" si="12"/>
        <v/>
      </c>
      <c r="BD24" s="8"/>
      <c r="BE24" s="13" t="str">
        <f t="shared" si="19"/>
        <v/>
      </c>
      <c r="BF24" s="14">
        <f t="shared" si="13"/>
        <v>69.825641025641033</v>
      </c>
      <c r="BG24" s="15" t="str">
        <f t="shared" si="14"/>
        <v>C+</v>
      </c>
      <c r="BH24" s="15" t="str">
        <f t="shared" si="15"/>
        <v>PASS</v>
      </c>
    </row>
    <row r="25" spans="1:60" ht="16" customHeight="1" x14ac:dyDescent="0.2">
      <c r="A25" s="6">
        <v>11</v>
      </c>
      <c r="B25" s="6" t="s">
        <v>176</v>
      </c>
      <c r="C25" s="7" t="s">
        <v>177</v>
      </c>
      <c r="D25" s="6" t="s">
        <v>376</v>
      </c>
      <c r="E25" s="8" t="s">
        <v>362</v>
      </c>
      <c r="F25" s="8" t="s">
        <v>362</v>
      </c>
      <c r="G25" s="8" t="s">
        <v>362</v>
      </c>
      <c r="H25" s="8" t="s">
        <v>467</v>
      </c>
      <c r="I25" s="8" t="s">
        <v>362</v>
      </c>
      <c r="J25" s="8" t="s">
        <v>403</v>
      </c>
      <c r="K25" s="8" t="s">
        <v>362</v>
      </c>
      <c r="L25" s="8" t="s">
        <v>362</v>
      </c>
      <c r="M25" s="33"/>
      <c r="N25" s="8" t="s">
        <v>362</v>
      </c>
      <c r="O25" s="8" t="s">
        <v>362</v>
      </c>
      <c r="P25" s="8" t="s">
        <v>364</v>
      </c>
      <c r="Q25" s="8"/>
      <c r="R25" s="8"/>
      <c r="S25" s="8" t="s">
        <v>467</v>
      </c>
      <c r="T25" s="8"/>
      <c r="U25" s="33"/>
      <c r="V25" s="9">
        <f t="shared" si="0"/>
        <v>8</v>
      </c>
      <c r="W25" s="9">
        <f t="shared" si="1"/>
        <v>1</v>
      </c>
      <c r="X25" s="9">
        <f t="shared" si="2"/>
        <v>1</v>
      </c>
      <c r="Y25" s="9">
        <f t="shared" si="3"/>
        <v>2</v>
      </c>
      <c r="Z25" s="9">
        <f t="shared" si="4"/>
        <v>13</v>
      </c>
      <c r="AA25" s="10">
        <f t="shared" si="5"/>
        <v>0.69230769230769229</v>
      </c>
      <c r="AB25" s="11">
        <f t="shared" si="6"/>
        <v>6.9230769230769234</v>
      </c>
      <c r="AC25" s="12" t="str">
        <f t="shared" si="7"/>
        <v>OK</v>
      </c>
      <c r="AD25" s="8">
        <v>100</v>
      </c>
      <c r="AE25" s="8">
        <v>88</v>
      </c>
      <c r="AF25" s="8">
        <v>83</v>
      </c>
      <c r="AG25" s="8"/>
      <c r="AH25" s="8"/>
      <c r="AI25" s="16">
        <f t="shared" si="8"/>
        <v>90.333333333333329</v>
      </c>
      <c r="AJ25" s="13">
        <f t="shared" si="9"/>
        <v>13.55</v>
      </c>
      <c r="AK25" s="8">
        <v>100</v>
      </c>
      <c r="AL25" s="8">
        <v>100</v>
      </c>
      <c r="AM25" s="8">
        <v>100</v>
      </c>
      <c r="AN25" s="8">
        <v>0</v>
      </c>
      <c r="AO25" s="8"/>
      <c r="AP25" s="16">
        <f t="shared" si="16"/>
        <v>75</v>
      </c>
      <c r="AQ25" s="13">
        <f t="shared" si="17"/>
        <v>18.75</v>
      </c>
      <c r="AR25" s="8">
        <v>100</v>
      </c>
      <c r="AS25" s="8">
        <v>100</v>
      </c>
      <c r="AT25" s="8">
        <v>90</v>
      </c>
      <c r="AU25" s="8"/>
      <c r="AV25" s="8"/>
      <c r="AW25" s="16">
        <f t="shared" si="10"/>
        <v>96.666666666666671</v>
      </c>
      <c r="AX25" s="13">
        <f t="shared" si="11"/>
        <v>9.6666666666666661</v>
      </c>
      <c r="AY25" s="8">
        <v>41</v>
      </c>
      <c r="AZ25" s="13">
        <f t="shared" si="18"/>
        <v>16.399999999999999</v>
      </c>
      <c r="BA25" s="13"/>
      <c r="BB25" s="8"/>
      <c r="BC25" s="13" t="str">
        <f t="shared" si="12"/>
        <v/>
      </c>
      <c r="BD25" s="8"/>
      <c r="BE25" s="13" t="str">
        <f t="shared" si="19"/>
        <v/>
      </c>
      <c r="BF25" s="14">
        <f t="shared" si="13"/>
        <v>65.28974358974358</v>
      </c>
      <c r="BG25" s="15" t="str">
        <f t="shared" si="14"/>
        <v>C+</v>
      </c>
      <c r="BH25" s="15" t="str">
        <f t="shared" si="15"/>
        <v>PASS</v>
      </c>
    </row>
    <row r="26" spans="1:60" ht="16" customHeight="1" x14ac:dyDescent="0.2">
      <c r="A26" s="6">
        <v>12</v>
      </c>
      <c r="B26" s="6" t="s">
        <v>178</v>
      </c>
      <c r="C26" s="7" t="s">
        <v>179</v>
      </c>
      <c r="D26" s="6" t="s">
        <v>377</v>
      </c>
      <c r="E26" s="8" t="s">
        <v>362</v>
      </c>
      <c r="F26" s="8" t="s">
        <v>362</v>
      </c>
      <c r="G26" s="8" t="s">
        <v>362</v>
      </c>
      <c r="H26" s="8" t="s">
        <v>467</v>
      </c>
      <c r="I26" s="8" t="s">
        <v>362</v>
      </c>
      <c r="J26" s="8" t="s">
        <v>362</v>
      </c>
      <c r="K26" s="8" t="s">
        <v>362</v>
      </c>
      <c r="L26" s="8" t="s">
        <v>364</v>
      </c>
      <c r="M26" s="33"/>
      <c r="N26" s="8" t="s">
        <v>362</v>
      </c>
      <c r="O26" s="8" t="s">
        <v>362</v>
      </c>
      <c r="P26" s="8" t="s">
        <v>362</v>
      </c>
      <c r="Q26" s="8"/>
      <c r="R26" s="8"/>
      <c r="S26" s="8" t="s">
        <v>467</v>
      </c>
      <c r="T26" s="8"/>
      <c r="U26" s="33"/>
      <c r="V26" s="9">
        <f t="shared" si="0"/>
        <v>9</v>
      </c>
      <c r="W26" s="9">
        <f t="shared" si="1"/>
        <v>1</v>
      </c>
      <c r="X26" s="9">
        <f t="shared" si="2"/>
        <v>0</v>
      </c>
      <c r="Y26" s="9">
        <f t="shared" si="3"/>
        <v>2</v>
      </c>
      <c r="Z26" s="9">
        <f t="shared" si="4"/>
        <v>13</v>
      </c>
      <c r="AA26" s="10">
        <f t="shared" si="5"/>
        <v>0.69230769230769229</v>
      </c>
      <c r="AB26" s="11">
        <f t="shared" si="6"/>
        <v>6.9230769230769234</v>
      </c>
      <c r="AC26" s="12" t="str">
        <f t="shared" si="7"/>
        <v>OK</v>
      </c>
      <c r="AD26" s="8">
        <v>100</v>
      </c>
      <c r="AE26" s="8">
        <v>88</v>
      </c>
      <c r="AF26" s="8">
        <v>55</v>
      </c>
      <c r="AG26" s="8"/>
      <c r="AH26" s="8"/>
      <c r="AI26" s="16">
        <f t="shared" si="8"/>
        <v>81</v>
      </c>
      <c r="AJ26" s="13">
        <f t="shared" si="9"/>
        <v>12.15</v>
      </c>
      <c r="AK26" s="8">
        <v>100</v>
      </c>
      <c r="AL26" s="8">
        <v>100</v>
      </c>
      <c r="AM26" s="8">
        <v>100</v>
      </c>
      <c r="AN26" s="8">
        <v>100</v>
      </c>
      <c r="AO26" s="8"/>
      <c r="AP26" s="16">
        <f t="shared" si="16"/>
        <v>100</v>
      </c>
      <c r="AQ26" s="13">
        <f t="shared" si="17"/>
        <v>25</v>
      </c>
      <c r="AR26" s="8">
        <v>100</v>
      </c>
      <c r="AS26" s="8">
        <v>100</v>
      </c>
      <c r="AT26" s="8">
        <v>0</v>
      </c>
      <c r="AU26" s="8"/>
      <c r="AV26" s="8"/>
      <c r="AW26" s="16">
        <f t="shared" si="10"/>
        <v>66.666666666666671</v>
      </c>
      <c r="AX26" s="13">
        <f t="shared" si="11"/>
        <v>6.6666666666666679</v>
      </c>
      <c r="AY26" s="8">
        <v>39</v>
      </c>
      <c r="AZ26" s="13">
        <f t="shared" si="18"/>
        <v>15.600000000000001</v>
      </c>
      <c r="BA26" s="13"/>
      <c r="BB26" s="8"/>
      <c r="BC26" s="13" t="str">
        <f t="shared" si="12"/>
        <v/>
      </c>
      <c r="BD26" s="8"/>
      <c r="BE26" s="13" t="str">
        <f t="shared" si="19"/>
        <v/>
      </c>
      <c r="BF26" s="14">
        <f t="shared" si="13"/>
        <v>66.339743589743591</v>
      </c>
      <c r="BG26" s="15" t="str">
        <f t="shared" si="14"/>
        <v>C+</v>
      </c>
      <c r="BH26" s="15" t="str">
        <f t="shared" si="15"/>
        <v>PASS</v>
      </c>
    </row>
    <row r="27" spans="1:60" ht="16" customHeight="1" x14ac:dyDescent="0.2">
      <c r="A27" s="6">
        <v>13</v>
      </c>
      <c r="B27" s="6" t="s">
        <v>180</v>
      </c>
      <c r="C27" s="7" t="s">
        <v>181</v>
      </c>
      <c r="D27" s="6" t="s">
        <v>378</v>
      </c>
      <c r="E27" s="8" t="s">
        <v>362</v>
      </c>
      <c r="F27" s="8" t="s">
        <v>362</v>
      </c>
      <c r="G27" s="8" t="s">
        <v>362</v>
      </c>
      <c r="H27" s="8" t="s">
        <v>467</v>
      </c>
      <c r="I27" s="8" t="s">
        <v>362</v>
      </c>
      <c r="J27" s="8" t="s">
        <v>362</v>
      </c>
      <c r="K27" s="8" t="s">
        <v>362</v>
      </c>
      <c r="L27" s="8" t="s">
        <v>362</v>
      </c>
      <c r="M27" s="33"/>
      <c r="N27" s="8" t="s">
        <v>362</v>
      </c>
      <c r="O27" s="8" t="s">
        <v>362</v>
      </c>
      <c r="P27" s="8" t="s">
        <v>362</v>
      </c>
      <c r="Q27" s="8"/>
      <c r="R27" s="8"/>
      <c r="S27" s="8" t="s">
        <v>467</v>
      </c>
      <c r="T27" s="8"/>
      <c r="U27" s="33"/>
      <c r="V27" s="9">
        <f t="shared" si="0"/>
        <v>10</v>
      </c>
      <c r="W27" s="9">
        <f t="shared" si="1"/>
        <v>0</v>
      </c>
      <c r="X27" s="9">
        <f t="shared" si="2"/>
        <v>0</v>
      </c>
      <c r="Y27" s="9">
        <f t="shared" si="3"/>
        <v>2</v>
      </c>
      <c r="Z27" s="9">
        <f t="shared" si="4"/>
        <v>13</v>
      </c>
      <c r="AA27" s="10">
        <f t="shared" si="5"/>
        <v>0.76923076923076927</v>
      </c>
      <c r="AB27" s="11">
        <f t="shared" si="6"/>
        <v>7.6923076923076925</v>
      </c>
      <c r="AC27" s="12" t="str">
        <f t="shared" si="7"/>
        <v>OK</v>
      </c>
      <c r="AD27" s="8">
        <v>100</v>
      </c>
      <c r="AE27" s="8">
        <v>88</v>
      </c>
      <c r="AF27" s="8">
        <v>70</v>
      </c>
      <c r="AG27" s="8"/>
      <c r="AH27" s="8"/>
      <c r="AI27" s="16">
        <f t="shared" si="8"/>
        <v>86</v>
      </c>
      <c r="AJ27" s="13">
        <f t="shared" si="9"/>
        <v>12.9</v>
      </c>
      <c r="AK27" s="8">
        <v>100</v>
      </c>
      <c r="AL27" s="8">
        <v>100</v>
      </c>
      <c r="AM27" s="8">
        <v>100</v>
      </c>
      <c r="AN27" s="8">
        <v>100</v>
      </c>
      <c r="AO27" s="8"/>
      <c r="AP27" s="16">
        <f t="shared" si="16"/>
        <v>100</v>
      </c>
      <c r="AQ27" s="13">
        <f t="shared" si="17"/>
        <v>25</v>
      </c>
      <c r="AR27" s="8">
        <v>100</v>
      </c>
      <c r="AS27" s="8">
        <v>100</v>
      </c>
      <c r="AT27" s="8">
        <v>90</v>
      </c>
      <c r="AU27" s="8"/>
      <c r="AV27" s="8"/>
      <c r="AW27" s="16">
        <f t="shared" si="10"/>
        <v>96.666666666666671</v>
      </c>
      <c r="AX27" s="13">
        <f t="shared" si="11"/>
        <v>9.6666666666666661</v>
      </c>
      <c r="AY27" s="8">
        <v>44</v>
      </c>
      <c r="AZ27" s="13">
        <f t="shared" si="18"/>
        <v>17.600000000000001</v>
      </c>
      <c r="BA27" s="13"/>
      <c r="BB27" s="8"/>
      <c r="BC27" s="13" t="str">
        <f t="shared" si="12"/>
        <v/>
      </c>
      <c r="BD27" s="8"/>
      <c r="BE27" s="13" t="str">
        <f t="shared" si="19"/>
        <v/>
      </c>
      <c r="BF27" s="14">
        <f t="shared" si="13"/>
        <v>72.858974358974365</v>
      </c>
      <c r="BG27" s="15" t="str">
        <f t="shared" si="14"/>
        <v>B</v>
      </c>
      <c r="BH27" s="15" t="str">
        <f t="shared" si="15"/>
        <v>PASS</v>
      </c>
    </row>
    <row r="28" spans="1:60" ht="16" customHeight="1" x14ac:dyDescent="0.2">
      <c r="A28" s="6">
        <v>14</v>
      </c>
      <c r="B28" s="6" t="s">
        <v>182</v>
      </c>
      <c r="C28" s="7" t="s">
        <v>183</v>
      </c>
      <c r="D28" s="6" t="s">
        <v>379</v>
      </c>
      <c r="E28" s="8" t="s">
        <v>362</v>
      </c>
      <c r="F28" s="8" t="s">
        <v>364</v>
      </c>
      <c r="G28" s="8" t="s">
        <v>362</v>
      </c>
      <c r="H28" s="8" t="s">
        <v>467</v>
      </c>
      <c r="I28" s="8" t="s">
        <v>362</v>
      </c>
      <c r="J28" s="8" t="s">
        <v>403</v>
      </c>
      <c r="K28" s="8" t="s">
        <v>362</v>
      </c>
      <c r="L28" s="8" t="s">
        <v>362</v>
      </c>
      <c r="M28" s="33"/>
      <c r="N28" s="8" t="s">
        <v>362</v>
      </c>
      <c r="O28" s="8" t="s">
        <v>362</v>
      </c>
      <c r="P28" s="8" t="s">
        <v>364</v>
      </c>
      <c r="Q28" s="8"/>
      <c r="R28" s="8"/>
      <c r="S28" s="8" t="s">
        <v>467</v>
      </c>
      <c r="T28" s="8"/>
      <c r="U28" s="33"/>
      <c r="V28" s="9">
        <f t="shared" si="0"/>
        <v>7</v>
      </c>
      <c r="W28" s="9">
        <f t="shared" si="1"/>
        <v>2</v>
      </c>
      <c r="X28" s="9">
        <f t="shared" si="2"/>
        <v>1</v>
      </c>
      <c r="Y28" s="9">
        <f t="shared" si="3"/>
        <v>2</v>
      </c>
      <c r="Z28" s="9">
        <f t="shared" si="4"/>
        <v>13</v>
      </c>
      <c r="AA28" s="10">
        <f t="shared" si="5"/>
        <v>0.61538461538461542</v>
      </c>
      <c r="AB28" s="11">
        <f t="shared" si="6"/>
        <v>6.1538461538461542</v>
      </c>
      <c r="AC28" s="12" t="str">
        <f t="shared" si="7"/>
        <v>OK</v>
      </c>
      <c r="AD28" s="8">
        <v>100</v>
      </c>
      <c r="AE28" s="8">
        <v>88</v>
      </c>
      <c r="AF28" s="8">
        <v>88</v>
      </c>
      <c r="AG28" s="8"/>
      <c r="AH28" s="8"/>
      <c r="AI28" s="16">
        <f t="shared" si="8"/>
        <v>92</v>
      </c>
      <c r="AJ28" s="13">
        <f t="shared" si="9"/>
        <v>13.8</v>
      </c>
      <c r="AK28" s="8">
        <v>100</v>
      </c>
      <c r="AL28" s="8">
        <v>100</v>
      </c>
      <c r="AM28" s="8">
        <v>100</v>
      </c>
      <c r="AN28" s="8">
        <v>0</v>
      </c>
      <c r="AO28" s="8"/>
      <c r="AP28" s="16">
        <f t="shared" si="16"/>
        <v>75</v>
      </c>
      <c r="AQ28" s="13">
        <f t="shared" si="17"/>
        <v>18.75</v>
      </c>
      <c r="AR28" s="8">
        <v>100</v>
      </c>
      <c r="AS28" s="8">
        <v>100</v>
      </c>
      <c r="AT28" s="8">
        <v>100</v>
      </c>
      <c r="AU28" s="8"/>
      <c r="AV28" s="8"/>
      <c r="AW28" s="16">
        <f t="shared" si="10"/>
        <v>100</v>
      </c>
      <c r="AX28" s="13">
        <f t="shared" si="11"/>
        <v>10</v>
      </c>
      <c r="AY28" s="8">
        <v>50</v>
      </c>
      <c r="AZ28" s="13">
        <f t="shared" si="18"/>
        <v>20</v>
      </c>
      <c r="BA28" s="13"/>
      <c r="BB28" s="8"/>
      <c r="BC28" s="13" t="str">
        <f t="shared" si="12"/>
        <v/>
      </c>
      <c r="BD28" s="8"/>
      <c r="BE28" s="13" t="str">
        <f t="shared" si="19"/>
        <v/>
      </c>
      <c r="BF28" s="14">
        <f t="shared" si="13"/>
        <v>68.703846153846158</v>
      </c>
      <c r="BG28" s="15" t="str">
        <f t="shared" si="14"/>
        <v>C+</v>
      </c>
      <c r="BH28" s="15" t="str">
        <f t="shared" si="15"/>
        <v>PASS</v>
      </c>
    </row>
    <row r="29" spans="1:60" ht="16" customHeight="1" x14ac:dyDescent="0.2">
      <c r="A29" s="6">
        <v>15</v>
      </c>
      <c r="B29" s="6" t="s">
        <v>184</v>
      </c>
      <c r="C29" s="7" t="s">
        <v>185</v>
      </c>
      <c r="D29" s="6" t="s">
        <v>380</v>
      </c>
      <c r="E29" s="8" t="s">
        <v>362</v>
      </c>
      <c r="F29" s="8" t="s">
        <v>362</v>
      </c>
      <c r="G29" s="8" t="s">
        <v>362</v>
      </c>
      <c r="H29" s="8" t="s">
        <v>467</v>
      </c>
      <c r="I29" s="8" t="s">
        <v>362</v>
      </c>
      <c r="J29" s="8" t="s">
        <v>362</v>
      </c>
      <c r="K29" s="8" t="s">
        <v>362</v>
      </c>
      <c r="L29" s="8" t="s">
        <v>362</v>
      </c>
      <c r="M29" s="33"/>
      <c r="N29" s="8" t="s">
        <v>362</v>
      </c>
      <c r="O29" s="8" t="s">
        <v>362</v>
      </c>
      <c r="P29" s="8" t="s">
        <v>362</v>
      </c>
      <c r="Q29" s="8"/>
      <c r="R29" s="8"/>
      <c r="S29" s="8" t="s">
        <v>467</v>
      </c>
      <c r="T29" s="8"/>
      <c r="U29" s="33"/>
      <c r="V29" s="9">
        <f t="shared" si="0"/>
        <v>10</v>
      </c>
      <c r="W29" s="9">
        <f t="shared" si="1"/>
        <v>0</v>
      </c>
      <c r="X29" s="9">
        <f t="shared" si="2"/>
        <v>0</v>
      </c>
      <c r="Y29" s="9">
        <f t="shared" si="3"/>
        <v>2</v>
      </c>
      <c r="Z29" s="9">
        <f t="shared" si="4"/>
        <v>13</v>
      </c>
      <c r="AA29" s="10">
        <f t="shared" si="5"/>
        <v>0.76923076923076927</v>
      </c>
      <c r="AB29" s="11">
        <f t="shared" si="6"/>
        <v>7.6923076923076925</v>
      </c>
      <c r="AC29" s="12" t="str">
        <f t="shared" si="7"/>
        <v>OK</v>
      </c>
      <c r="AD29" s="8">
        <v>100</v>
      </c>
      <c r="AE29" s="8">
        <v>88</v>
      </c>
      <c r="AF29" s="8">
        <v>88</v>
      </c>
      <c r="AG29" s="8"/>
      <c r="AH29" s="8"/>
      <c r="AI29" s="16">
        <f t="shared" si="8"/>
        <v>92</v>
      </c>
      <c r="AJ29" s="13">
        <f t="shared" si="9"/>
        <v>13.8</v>
      </c>
      <c r="AK29" s="8">
        <v>100</v>
      </c>
      <c r="AL29" s="8">
        <v>100</v>
      </c>
      <c r="AM29" s="8">
        <v>100</v>
      </c>
      <c r="AN29" s="8">
        <v>100</v>
      </c>
      <c r="AO29" s="8"/>
      <c r="AP29" s="16">
        <f t="shared" si="16"/>
        <v>100</v>
      </c>
      <c r="AQ29" s="13">
        <f t="shared" si="17"/>
        <v>25</v>
      </c>
      <c r="AR29" s="8">
        <v>100</v>
      </c>
      <c r="AS29" s="8">
        <v>100</v>
      </c>
      <c r="AT29" s="8">
        <v>90</v>
      </c>
      <c r="AU29" s="8"/>
      <c r="AV29" s="8"/>
      <c r="AW29" s="16">
        <f t="shared" si="10"/>
        <v>96.666666666666671</v>
      </c>
      <c r="AX29" s="13">
        <f t="shared" si="11"/>
        <v>9.6666666666666661</v>
      </c>
      <c r="AY29" s="8">
        <v>48</v>
      </c>
      <c r="AZ29" s="13">
        <f t="shared" si="18"/>
        <v>19.2</v>
      </c>
      <c r="BA29" s="13"/>
      <c r="BB29" s="8"/>
      <c r="BC29" s="13" t="str">
        <f t="shared" si="12"/>
        <v/>
      </c>
      <c r="BD29" s="8"/>
      <c r="BE29" s="13" t="str">
        <f t="shared" si="19"/>
        <v/>
      </c>
      <c r="BF29" s="14">
        <f t="shared" si="13"/>
        <v>75.358974358974351</v>
      </c>
      <c r="BG29" s="15" t="str">
        <f t="shared" si="14"/>
        <v>B+</v>
      </c>
      <c r="BH29" s="15" t="str">
        <f t="shared" si="15"/>
        <v>PASS</v>
      </c>
    </row>
    <row r="30" spans="1:60" ht="16" customHeight="1" x14ac:dyDescent="0.2">
      <c r="A30" s="6">
        <v>16</v>
      </c>
      <c r="B30" s="6" t="s">
        <v>186</v>
      </c>
      <c r="C30" s="7" t="s">
        <v>187</v>
      </c>
      <c r="D30" s="6" t="s">
        <v>381</v>
      </c>
      <c r="E30" s="8" t="s">
        <v>362</v>
      </c>
      <c r="F30" s="8" t="s">
        <v>364</v>
      </c>
      <c r="G30" s="8" t="s">
        <v>362</v>
      </c>
      <c r="H30" s="8" t="s">
        <v>467</v>
      </c>
      <c r="I30" s="8" t="s">
        <v>364</v>
      </c>
      <c r="J30" s="8" t="s">
        <v>362</v>
      </c>
      <c r="K30" s="8" t="s">
        <v>362</v>
      </c>
      <c r="L30" s="8" t="s">
        <v>362</v>
      </c>
      <c r="M30" s="33"/>
      <c r="N30" s="8" t="s">
        <v>362</v>
      </c>
      <c r="O30" s="8" t="s">
        <v>362</v>
      </c>
      <c r="P30" s="8" t="s">
        <v>362</v>
      </c>
      <c r="Q30" s="8"/>
      <c r="R30" s="8"/>
      <c r="S30" s="8" t="s">
        <v>467</v>
      </c>
      <c r="T30" s="8"/>
      <c r="U30" s="33"/>
      <c r="V30" s="9">
        <f t="shared" si="0"/>
        <v>8</v>
      </c>
      <c r="W30" s="9">
        <f t="shared" si="1"/>
        <v>2</v>
      </c>
      <c r="X30" s="9">
        <f t="shared" si="2"/>
        <v>0</v>
      </c>
      <c r="Y30" s="9">
        <f t="shared" si="3"/>
        <v>2</v>
      </c>
      <c r="Z30" s="9">
        <f t="shared" si="4"/>
        <v>13</v>
      </c>
      <c r="AA30" s="10">
        <f t="shared" si="5"/>
        <v>0.61538461538461542</v>
      </c>
      <c r="AB30" s="11">
        <f t="shared" si="6"/>
        <v>6.1538461538461542</v>
      </c>
      <c r="AC30" s="12" t="str">
        <f t="shared" si="7"/>
        <v>OK</v>
      </c>
      <c r="AD30" s="8">
        <v>100</v>
      </c>
      <c r="AE30" s="8">
        <v>88</v>
      </c>
      <c r="AF30" s="8">
        <v>70</v>
      </c>
      <c r="AG30" s="8"/>
      <c r="AH30" s="8"/>
      <c r="AI30" s="16">
        <f t="shared" si="8"/>
        <v>86</v>
      </c>
      <c r="AJ30" s="13">
        <f t="shared" si="9"/>
        <v>12.9</v>
      </c>
      <c r="AK30" s="8">
        <v>100</v>
      </c>
      <c r="AL30" s="8">
        <v>100</v>
      </c>
      <c r="AM30" s="8">
        <v>100</v>
      </c>
      <c r="AN30" s="8">
        <v>100</v>
      </c>
      <c r="AO30" s="8"/>
      <c r="AP30" s="16">
        <f t="shared" si="16"/>
        <v>100</v>
      </c>
      <c r="AQ30" s="13">
        <f t="shared" si="17"/>
        <v>25</v>
      </c>
      <c r="AR30" s="8">
        <v>0</v>
      </c>
      <c r="AS30" s="8">
        <v>100</v>
      </c>
      <c r="AT30" s="8">
        <v>100</v>
      </c>
      <c r="AU30" s="8"/>
      <c r="AV30" s="8"/>
      <c r="AW30" s="16">
        <f t="shared" si="10"/>
        <v>66.666666666666671</v>
      </c>
      <c r="AX30" s="13">
        <f t="shared" si="11"/>
        <v>6.6666666666666679</v>
      </c>
      <c r="AY30" s="8">
        <v>40</v>
      </c>
      <c r="AZ30" s="13">
        <f t="shared" si="18"/>
        <v>16</v>
      </c>
      <c r="BA30" s="13"/>
      <c r="BB30" s="8"/>
      <c r="BC30" s="13" t="str">
        <f t="shared" si="12"/>
        <v/>
      </c>
      <c r="BD30" s="8"/>
      <c r="BE30" s="13" t="str">
        <f t="shared" si="19"/>
        <v/>
      </c>
      <c r="BF30" s="14">
        <f t="shared" si="13"/>
        <v>66.720512820512823</v>
      </c>
      <c r="BG30" s="15" t="str">
        <f t="shared" si="14"/>
        <v>C+</v>
      </c>
      <c r="BH30" s="15" t="str">
        <f t="shared" si="15"/>
        <v>PASS</v>
      </c>
    </row>
    <row r="31" spans="1:60" ht="16" customHeight="1" x14ac:dyDescent="0.2">
      <c r="A31" s="6">
        <v>17</v>
      </c>
      <c r="B31" s="6" t="s">
        <v>188</v>
      </c>
      <c r="C31" s="7" t="s">
        <v>189</v>
      </c>
      <c r="D31" s="6" t="s">
        <v>382</v>
      </c>
      <c r="E31" s="8" t="s">
        <v>362</v>
      </c>
      <c r="F31" s="8" t="s">
        <v>362</v>
      </c>
      <c r="G31" s="8" t="s">
        <v>362</v>
      </c>
      <c r="H31" s="8" t="s">
        <v>467</v>
      </c>
      <c r="I31" s="8" t="s">
        <v>362</v>
      </c>
      <c r="J31" s="8" t="s">
        <v>403</v>
      </c>
      <c r="K31" s="8" t="s">
        <v>362</v>
      </c>
      <c r="L31" s="8" t="s">
        <v>362</v>
      </c>
      <c r="M31" s="33"/>
      <c r="N31" s="8" t="s">
        <v>362</v>
      </c>
      <c r="O31" s="8" t="s">
        <v>362</v>
      </c>
      <c r="P31" s="8" t="s">
        <v>362</v>
      </c>
      <c r="Q31" s="8"/>
      <c r="R31" s="8"/>
      <c r="S31" s="8" t="s">
        <v>467</v>
      </c>
      <c r="T31" s="8"/>
      <c r="U31" s="33"/>
      <c r="V31" s="9">
        <f t="shared" si="0"/>
        <v>9</v>
      </c>
      <c r="W31" s="9">
        <f t="shared" si="1"/>
        <v>0</v>
      </c>
      <c r="X31" s="9">
        <f t="shared" si="2"/>
        <v>1</v>
      </c>
      <c r="Y31" s="9">
        <f t="shared" si="3"/>
        <v>2</v>
      </c>
      <c r="Z31" s="9">
        <f t="shared" si="4"/>
        <v>13</v>
      </c>
      <c r="AA31" s="10">
        <f t="shared" si="5"/>
        <v>0.76923076923076927</v>
      </c>
      <c r="AB31" s="11">
        <f t="shared" si="6"/>
        <v>7.6923076923076925</v>
      </c>
      <c r="AC31" s="12" t="str">
        <f t="shared" si="7"/>
        <v>OK</v>
      </c>
      <c r="AD31" s="8">
        <v>100</v>
      </c>
      <c r="AE31" s="8">
        <v>88</v>
      </c>
      <c r="AF31" s="8">
        <v>0</v>
      </c>
      <c r="AG31" s="8"/>
      <c r="AH31" s="8"/>
      <c r="AI31" s="16">
        <f t="shared" si="8"/>
        <v>62.666666666666664</v>
      </c>
      <c r="AJ31" s="13">
        <f t="shared" si="9"/>
        <v>9.3999999999999986</v>
      </c>
      <c r="AK31" s="8">
        <v>100</v>
      </c>
      <c r="AL31" s="8">
        <v>100</v>
      </c>
      <c r="AM31" s="8">
        <v>100</v>
      </c>
      <c r="AN31" s="8">
        <v>100</v>
      </c>
      <c r="AO31" s="8"/>
      <c r="AP31" s="16">
        <f t="shared" si="16"/>
        <v>100</v>
      </c>
      <c r="AQ31" s="13">
        <f t="shared" si="17"/>
        <v>25</v>
      </c>
      <c r="AR31" s="8">
        <v>100</v>
      </c>
      <c r="AS31" s="8">
        <v>100</v>
      </c>
      <c r="AT31" s="8">
        <v>80</v>
      </c>
      <c r="AU31" s="8"/>
      <c r="AV31" s="8"/>
      <c r="AW31" s="16">
        <f t="shared" si="10"/>
        <v>93.333333333333329</v>
      </c>
      <c r="AX31" s="13">
        <f t="shared" si="11"/>
        <v>9.3333333333333321</v>
      </c>
      <c r="AY31" s="8">
        <v>50</v>
      </c>
      <c r="AZ31" s="13">
        <f t="shared" si="18"/>
        <v>20</v>
      </c>
      <c r="BA31" s="13"/>
      <c r="BB31" s="8"/>
      <c r="BC31" s="13" t="str">
        <f t="shared" si="12"/>
        <v/>
      </c>
      <c r="BD31" s="8"/>
      <c r="BE31" s="13" t="str">
        <f t="shared" si="19"/>
        <v/>
      </c>
      <c r="BF31" s="14">
        <f t="shared" si="13"/>
        <v>71.425641025641028</v>
      </c>
      <c r="BG31" s="15" t="str">
        <f t="shared" si="14"/>
        <v>B</v>
      </c>
      <c r="BH31" s="15" t="str">
        <f t="shared" si="15"/>
        <v>PASS</v>
      </c>
    </row>
    <row r="32" spans="1:60" ht="16" customHeight="1" x14ac:dyDescent="0.2">
      <c r="A32" s="6">
        <v>18</v>
      </c>
      <c r="B32" s="6" t="s">
        <v>190</v>
      </c>
      <c r="C32" s="7" t="s">
        <v>191</v>
      </c>
      <c r="D32" s="6" t="s">
        <v>486</v>
      </c>
      <c r="E32" s="8" t="s">
        <v>362</v>
      </c>
      <c r="F32" s="8" t="s">
        <v>362</v>
      </c>
      <c r="G32" s="8" t="s">
        <v>362</v>
      </c>
      <c r="H32" s="8" t="s">
        <v>467</v>
      </c>
      <c r="I32" s="8" t="s">
        <v>362</v>
      </c>
      <c r="J32" s="8" t="s">
        <v>362</v>
      </c>
      <c r="K32" s="8" t="s">
        <v>364</v>
      </c>
      <c r="L32" s="8" t="s">
        <v>362</v>
      </c>
      <c r="M32" s="33"/>
      <c r="N32" s="8" t="s">
        <v>362</v>
      </c>
      <c r="O32" s="8" t="s">
        <v>364</v>
      </c>
      <c r="P32" s="8" t="s">
        <v>364</v>
      </c>
      <c r="Q32" s="8"/>
      <c r="R32" s="8"/>
      <c r="S32" s="8" t="s">
        <v>467</v>
      </c>
      <c r="T32" s="8"/>
      <c r="U32" s="33"/>
      <c r="V32" s="9">
        <f t="shared" si="0"/>
        <v>7</v>
      </c>
      <c r="W32" s="9">
        <f t="shared" si="1"/>
        <v>3</v>
      </c>
      <c r="X32" s="9">
        <f t="shared" si="2"/>
        <v>0</v>
      </c>
      <c r="Y32" s="9">
        <f t="shared" si="3"/>
        <v>2</v>
      </c>
      <c r="Z32" s="9">
        <f t="shared" si="4"/>
        <v>13</v>
      </c>
      <c r="AA32" s="10">
        <f t="shared" si="5"/>
        <v>0.53846153846153844</v>
      </c>
      <c r="AB32" s="11">
        <f t="shared" si="6"/>
        <v>5.3846153846153841</v>
      </c>
      <c r="AC32" s="12" t="str">
        <f t="shared" si="7"/>
        <v>WARNING: 3 absences</v>
      </c>
      <c r="AD32" s="8">
        <v>100</v>
      </c>
      <c r="AE32" s="8">
        <v>88</v>
      </c>
      <c r="AF32" s="8">
        <v>94</v>
      </c>
      <c r="AG32" s="8"/>
      <c r="AH32" s="8"/>
      <c r="AI32" s="16">
        <f t="shared" si="8"/>
        <v>94</v>
      </c>
      <c r="AJ32" s="13">
        <f t="shared" si="9"/>
        <v>14.1</v>
      </c>
      <c r="AK32" s="8">
        <v>100</v>
      </c>
      <c r="AL32" s="8">
        <v>0</v>
      </c>
      <c r="AM32" s="8">
        <v>100</v>
      </c>
      <c r="AN32" s="8">
        <v>0</v>
      </c>
      <c r="AO32" s="8"/>
      <c r="AP32" s="16">
        <f t="shared" si="16"/>
        <v>50</v>
      </c>
      <c r="AQ32" s="13">
        <f t="shared" si="17"/>
        <v>12.5</v>
      </c>
      <c r="AR32" s="8">
        <v>100</v>
      </c>
      <c r="AS32" s="8">
        <v>100</v>
      </c>
      <c r="AT32" s="8">
        <v>90</v>
      </c>
      <c r="AU32" s="8"/>
      <c r="AV32" s="8"/>
      <c r="AW32" s="16">
        <f t="shared" si="10"/>
        <v>96.666666666666671</v>
      </c>
      <c r="AX32" s="13">
        <f t="shared" si="11"/>
        <v>9.6666666666666661</v>
      </c>
      <c r="AY32" s="8">
        <v>39</v>
      </c>
      <c r="AZ32" s="13">
        <f t="shared" si="18"/>
        <v>15.600000000000001</v>
      </c>
      <c r="BA32" s="13"/>
      <c r="BB32" s="8"/>
      <c r="BC32" s="13" t="str">
        <f t="shared" si="12"/>
        <v/>
      </c>
      <c r="BD32" s="8"/>
      <c r="BE32" s="13" t="str">
        <f t="shared" si="19"/>
        <v/>
      </c>
      <c r="BF32" s="14">
        <f t="shared" si="13"/>
        <v>57.251282051282054</v>
      </c>
      <c r="BG32" s="15" t="str">
        <f t="shared" si="14"/>
        <v>D+</v>
      </c>
      <c r="BH32" s="15" t="str">
        <f t="shared" si="15"/>
        <v>PASS</v>
      </c>
    </row>
    <row r="33" spans="1:60" ht="16" customHeight="1" x14ac:dyDescent="0.2">
      <c r="A33" s="6">
        <v>19</v>
      </c>
      <c r="B33" s="6" t="s">
        <v>192</v>
      </c>
      <c r="C33" s="7" t="s">
        <v>193</v>
      </c>
      <c r="D33" s="6" t="s">
        <v>383</v>
      </c>
      <c r="E33" s="8" t="s">
        <v>362</v>
      </c>
      <c r="F33" s="8" t="s">
        <v>362</v>
      </c>
      <c r="G33" s="8" t="s">
        <v>362</v>
      </c>
      <c r="H33" s="8" t="s">
        <v>467</v>
      </c>
      <c r="I33" s="8" t="s">
        <v>362</v>
      </c>
      <c r="J33" s="8" t="s">
        <v>362</v>
      </c>
      <c r="K33" s="8" t="s">
        <v>362</v>
      </c>
      <c r="L33" s="8" t="s">
        <v>362</v>
      </c>
      <c r="M33" s="33"/>
      <c r="N33" s="8" t="s">
        <v>362</v>
      </c>
      <c r="O33" s="8" t="s">
        <v>362</v>
      </c>
      <c r="P33" s="8" t="s">
        <v>364</v>
      </c>
      <c r="Q33" s="8"/>
      <c r="R33" s="8"/>
      <c r="S33" s="8" t="s">
        <v>467</v>
      </c>
      <c r="T33" s="8"/>
      <c r="U33" s="33"/>
      <c r="V33" s="9">
        <f t="shared" si="0"/>
        <v>9</v>
      </c>
      <c r="W33" s="9">
        <f t="shared" si="1"/>
        <v>1</v>
      </c>
      <c r="X33" s="9">
        <f t="shared" si="2"/>
        <v>0</v>
      </c>
      <c r="Y33" s="9">
        <f t="shared" si="3"/>
        <v>2</v>
      </c>
      <c r="Z33" s="9">
        <f t="shared" si="4"/>
        <v>13</v>
      </c>
      <c r="AA33" s="10">
        <f t="shared" si="5"/>
        <v>0.69230769230769229</v>
      </c>
      <c r="AB33" s="11">
        <f t="shared" si="6"/>
        <v>6.9230769230769234</v>
      </c>
      <c r="AC33" s="12" t="str">
        <f t="shared" si="7"/>
        <v>OK</v>
      </c>
      <c r="AD33" s="8">
        <v>100</v>
      </c>
      <c r="AE33" s="8">
        <v>88</v>
      </c>
      <c r="AF33" s="8">
        <v>0</v>
      </c>
      <c r="AG33" s="8"/>
      <c r="AH33" s="8"/>
      <c r="AI33" s="16">
        <f t="shared" si="8"/>
        <v>62.666666666666664</v>
      </c>
      <c r="AJ33" s="13">
        <f t="shared" si="9"/>
        <v>9.3999999999999986</v>
      </c>
      <c r="AK33" s="8">
        <v>100</v>
      </c>
      <c r="AL33" s="8">
        <v>100</v>
      </c>
      <c r="AM33" s="8">
        <v>100</v>
      </c>
      <c r="AN33" s="8">
        <v>0</v>
      </c>
      <c r="AO33" s="8"/>
      <c r="AP33" s="16">
        <f t="shared" si="16"/>
        <v>75</v>
      </c>
      <c r="AQ33" s="13">
        <f t="shared" si="17"/>
        <v>18.75</v>
      </c>
      <c r="AR33" s="8">
        <v>100</v>
      </c>
      <c r="AS33" s="8">
        <v>100</v>
      </c>
      <c r="AT33" s="8">
        <v>90</v>
      </c>
      <c r="AU33" s="8"/>
      <c r="AV33" s="8"/>
      <c r="AW33" s="16">
        <f t="shared" si="10"/>
        <v>96.666666666666671</v>
      </c>
      <c r="AX33" s="13">
        <f t="shared" si="11"/>
        <v>9.6666666666666661</v>
      </c>
      <c r="AY33" s="8">
        <v>50</v>
      </c>
      <c r="AZ33" s="13">
        <f t="shared" si="18"/>
        <v>20</v>
      </c>
      <c r="BA33" s="13"/>
      <c r="BB33" s="8"/>
      <c r="BC33" s="13" t="str">
        <f t="shared" si="12"/>
        <v/>
      </c>
      <c r="BD33" s="8"/>
      <c r="BE33" s="13" t="str">
        <f t="shared" si="19"/>
        <v/>
      </c>
      <c r="BF33" s="14">
        <f t="shared" si="13"/>
        <v>64.739743589743597</v>
      </c>
      <c r="BG33" s="15" t="str">
        <f t="shared" si="14"/>
        <v>C</v>
      </c>
      <c r="BH33" s="15" t="str">
        <f t="shared" si="15"/>
        <v>PASS</v>
      </c>
    </row>
    <row r="34" spans="1:60" ht="16" customHeight="1" x14ac:dyDescent="0.2">
      <c r="A34" s="6">
        <v>20</v>
      </c>
      <c r="B34" s="6" t="s">
        <v>194</v>
      </c>
      <c r="C34" s="7" t="s">
        <v>195</v>
      </c>
      <c r="D34" s="6" t="s">
        <v>384</v>
      </c>
      <c r="E34" s="8" t="s">
        <v>362</v>
      </c>
      <c r="F34" s="8" t="s">
        <v>364</v>
      </c>
      <c r="G34" s="8" t="s">
        <v>362</v>
      </c>
      <c r="H34" s="8" t="s">
        <v>467</v>
      </c>
      <c r="I34" s="8" t="s">
        <v>362</v>
      </c>
      <c r="J34" s="8" t="s">
        <v>362</v>
      </c>
      <c r="K34" s="8" t="s">
        <v>364</v>
      </c>
      <c r="L34" s="8" t="s">
        <v>362</v>
      </c>
      <c r="M34" s="33"/>
      <c r="N34" s="8" t="s">
        <v>362</v>
      </c>
      <c r="O34" s="8" t="s">
        <v>362</v>
      </c>
      <c r="P34" s="8" t="s">
        <v>362</v>
      </c>
      <c r="Q34" s="8"/>
      <c r="R34" s="8"/>
      <c r="S34" s="8" t="s">
        <v>467</v>
      </c>
      <c r="T34" s="8"/>
      <c r="U34" s="33"/>
      <c r="V34" s="9">
        <f t="shared" si="0"/>
        <v>8</v>
      </c>
      <c r="W34" s="9">
        <f t="shared" si="1"/>
        <v>2</v>
      </c>
      <c r="X34" s="9">
        <f t="shared" si="2"/>
        <v>0</v>
      </c>
      <c r="Y34" s="9">
        <f t="shared" si="3"/>
        <v>2</v>
      </c>
      <c r="Z34" s="9">
        <f t="shared" si="4"/>
        <v>13</v>
      </c>
      <c r="AA34" s="10">
        <f t="shared" si="5"/>
        <v>0.61538461538461542</v>
      </c>
      <c r="AB34" s="11">
        <f t="shared" si="6"/>
        <v>6.1538461538461542</v>
      </c>
      <c r="AC34" s="12" t="str">
        <f t="shared" si="7"/>
        <v>OK</v>
      </c>
      <c r="AD34" s="8">
        <v>100</v>
      </c>
      <c r="AE34" s="8">
        <v>88</v>
      </c>
      <c r="AF34" s="8">
        <v>97</v>
      </c>
      <c r="AG34" s="8"/>
      <c r="AH34" s="8"/>
      <c r="AI34" s="16">
        <f t="shared" si="8"/>
        <v>95</v>
      </c>
      <c r="AJ34" s="13">
        <f t="shared" si="9"/>
        <v>14.25</v>
      </c>
      <c r="AK34" s="8">
        <v>100</v>
      </c>
      <c r="AL34" s="8">
        <v>0</v>
      </c>
      <c r="AM34" s="8">
        <v>100</v>
      </c>
      <c r="AN34" s="8">
        <v>100</v>
      </c>
      <c r="AO34" s="8"/>
      <c r="AP34" s="16">
        <f t="shared" si="16"/>
        <v>75</v>
      </c>
      <c r="AQ34" s="13">
        <f t="shared" si="17"/>
        <v>18.75</v>
      </c>
      <c r="AR34" s="8">
        <v>0</v>
      </c>
      <c r="AS34" s="8">
        <v>100</v>
      </c>
      <c r="AT34" s="8">
        <v>100</v>
      </c>
      <c r="AU34" s="8"/>
      <c r="AV34" s="8"/>
      <c r="AW34" s="16">
        <f t="shared" si="10"/>
        <v>66.666666666666671</v>
      </c>
      <c r="AX34" s="13">
        <f t="shared" si="11"/>
        <v>6.6666666666666679</v>
      </c>
      <c r="AY34" s="8">
        <v>41</v>
      </c>
      <c r="AZ34" s="13">
        <f t="shared" si="18"/>
        <v>16.399999999999999</v>
      </c>
      <c r="BA34" s="13"/>
      <c r="BB34" s="8"/>
      <c r="BC34" s="13" t="str">
        <f t="shared" si="12"/>
        <v/>
      </c>
      <c r="BD34" s="8"/>
      <c r="BE34" s="13" t="str">
        <f t="shared" si="19"/>
        <v/>
      </c>
      <c r="BF34" s="14">
        <f t="shared" si="13"/>
        <v>62.220512820512816</v>
      </c>
      <c r="BG34" s="15" t="str">
        <f t="shared" si="14"/>
        <v>C</v>
      </c>
      <c r="BH34" s="15" t="str">
        <f t="shared" si="15"/>
        <v>PASS</v>
      </c>
    </row>
    <row r="35" spans="1:60" ht="16" customHeight="1" x14ac:dyDescent="0.2">
      <c r="A35" s="6">
        <v>21</v>
      </c>
      <c r="B35" s="6" t="s">
        <v>196</v>
      </c>
      <c r="C35" s="7" t="s">
        <v>197</v>
      </c>
      <c r="D35" s="6" t="s">
        <v>385</v>
      </c>
      <c r="E35" s="8" t="s">
        <v>362</v>
      </c>
      <c r="F35" s="8" t="s">
        <v>362</v>
      </c>
      <c r="G35" s="8" t="s">
        <v>364</v>
      </c>
      <c r="H35" s="8" t="s">
        <v>467</v>
      </c>
      <c r="I35" s="8" t="s">
        <v>362</v>
      </c>
      <c r="J35" s="8" t="s">
        <v>362</v>
      </c>
      <c r="K35" s="8" t="s">
        <v>362</v>
      </c>
      <c r="L35" s="8" t="s">
        <v>362</v>
      </c>
      <c r="M35" s="33"/>
      <c r="N35" s="8" t="s">
        <v>362</v>
      </c>
      <c r="O35" s="8" t="s">
        <v>362</v>
      </c>
      <c r="P35" s="8" t="s">
        <v>362</v>
      </c>
      <c r="Q35" s="8"/>
      <c r="R35" s="8"/>
      <c r="S35" s="8" t="s">
        <v>467</v>
      </c>
      <c r="T35" s="8"/>
      <c r="U35" s="33"/>
      <c r="V35" s="9">
        <f t="shared" si="0"/>
        <v>9</v>
      </c>
      <c r="W35" s="9">
        <f t="shared" si="1"/>
        <v>1</v>
      </c>
      <c r="X35" s="9">
        <f t="shared" si="2"/>
        <v>0</v>
      </c>
      <c r="Y35" s="9">
        <f t="shared" si="3"/>
        <v>2</v>
      </c>
      <c r="Z35" s="9">
        <f t="shared" si="4"/>
        <v>13</v>
      </c>
      <c r="AA35" s="10">
        <f t="shared" si="5"/>
        <v>0.69230769230769229</v>
      </c>
      <c r="AB35" s="11">
        <f t="shared" si="6"/>
        <v>6.9230769230769234</v>
      </c>
      <c r="AC35" s="12" t="str">
        <f t="shared" si="7"/>
        <v>OK</v>
      </c>
      <c r="AD35" s="8">
        <v>100</v>
      </c>
      <c r="AE35" s="8">
        <v>0</v>
      </c>
      <c r="AF35" s="8">
        <v>0</v>
      </c>
      <c r="AG35" s="8"/>
      <c r="AH35" s="8"/>
      <c r="AI35" s="16">
        <f t="shared" si="8"/>
        <v>33.333333333333336</v>
      </c>
      <c r="AJ35" s="13">
        <f t="shared" si="9"/>
        <v>5.0000000000000009</v>
      </c>
      <c r="AK35" s="8">
        <v>100</v>
      </c>
      <c r="AL35" s="8">
        <v>100</v>
      </c>
      <c r="AM35" s="8">
        <v>100</v>
      </c>
      <c r="AN35" s="8">
        <v>100</v>
      </c>
      <c r="AO35" s="8"/>
      <c r="AP35" s="16">
        <f t="shared" si="16"/>
        <v>100</v>
      </c>
      <c r="AQ35" s="13">
        <f t="shared" si="17"/>
        <v>25</v>
      </c>
      <c r="AR35" s="8">
        <v>100</v>
      </c>
      <c r="AS35" s="8">
        <v>0</v>
      </c>
      <c r="AT35" s="8">
        <v>100</v>
      </c>
      <c r="AU35" s="8"/>
      <c r="AV35" s="8"/>
      <c r="AW35" s="16">
        <f t="shared" si="10"/>
        <v>66.666666666666671</v>
      </c>
      <c r="AX35" s="13">
        <f t="shared" si="11"/>
        <v>6.6666666666666679</v>
      </c>
      <c r="AY35" s="8">
        <v>43</v>
      </c>
      <c r="AZ35" s="13">
        <f t="shared" si="18"/>
        <v>17.2</v>
      </c>
      <c r="BA35" s="13"/>
      <c r="BB35" s="8"/>
      <c r="BC35" s="13" t="str">
        <f t="shared" si="12"/>
        <v/>
      </c>
      <c r="BD35" s="8"/>
      <c r="BE35" s="13" t="str">
        <f t="shared" si="19"/>
        <v/>
      </c>
      <c r="BF35" s="14">
        <f t="shared" si="13"/>
        <v>60.789743589743594</v>
      </c>
      <c r="BG35" s="15" t="str">
        <f t="shared" si="14"/>
        <v>C</v>
      </c>
      <c r="BH35" s="15" t="str">
        <f t="shared" si="15"/>
        <v>PASS</v>
      </c>
    </row>
    <row r="36" spans="1:60" ht="16" customHeight="1" x14ac:dyDescent="0.2">
      <c r="A36" s="6">
        <v>22</v>
      </c>
      <c r="B36" s="6" t="s">
        <v>198</v>
      </c>
      <c r="C36" s="7" t="s">
        <v>199</v>
      </c>
      <c r="D36" s="6" t="s">
        <v>386</v>
      </c>
      <c r="E36" s="8" t="s">
        <v>362</v>
      </c>
      <c r="F36" s="8" t="s">
        <v>362</v>
      </c>
      <c r="G36" s="8" t="s">
        <v>362</v>
      </c>
      <c r="H36" s="8" t="s">
        <v>467</v>
      </c>
      <c r="I36" s="8" t="s">
        <v>362</v>
      </c>
      <c r="J36" s="8" t="s">
        <v>362</v>
      </c>
      <c r="K36" s="8" t="s">
        <v>362</v>
      </c>
      <c r="L36" s="8" t="s">
        <v>362</v>
      </c>
      <c r="M36" s="33"/>
      <c r="N36" s="8" t="s">
        <v>362</v>
      </c>
      <c r="O36" s="8" t="s">
        <v>364</v>
      </c>
      <c r="P36" s="8" t="s">
        <v>362</v>
      </c>
      <c r="Q36" s="8"/>
      <c r="R36" s="8"/>
      <c r="S36" s="8" t="s">
        <v>467</v>
      </c>
      <c r="T36" s="8"/>
      <c r="U36" s="33"/>
      <c r="V36" s="9">
        <f t="shared" si="0"/>
        <v>9</v>
      </c>
      <c r="W36" s="9">
        <f t="shared" si="1"/>
        <v>1</v>
      </c>
      <c r="X36" s="9">
        <f t="shared" si="2"/>
        <v>0</v>
      </c>
      <c r="Y36" s="9">
        <f t="shared" si="3"/>
        <v>2</v>
      </c>
      <c r="Z36" s="9">
        <f t="shared" si="4"/>
        <v>13</v>
      </c>
      <c r="AA36" s="10">
        <f t="shared" si="5"/>
        <v>0.69230769230769229</v>
      </c>
      <c r="AB36" s="11">
        <f t="shared" si="6"/>
        <v>6.9230769230769234</v>
      </c>
      <c r="AC36" s="12" t="str">
        <f t="shared" si="7"/>
        <v>OK</v>
      </c>
      <c r="AD36" s="8">
        <v>100</v>
      </c>
      <c r="AE36" s="8">
        <v>88</v>
      </c>
      <c r="AF36" s="8">
        <v>91</v>
      </c>
      <c r="AG36" s="8"/>
      <c r="AH36" s="8"/>
      <c r="AI36" s="16">
        <f t="shared" si="8"/>
        <v>93</v>
      </c>
      <c r="AJ36" s="13">
        <f t="shared" si="9"/>
        <v>13.950000000000001</v>
      </c>
      <c r="AK36" s="8">
        <v>100</v>
      </c>
      <c r="AL36" s="8">
        <v>100</v>
      </c>
      <c r="AM36" s="8">
        <v>100</v>
      </c>
      <c r="AN36" s="8">
        <v>100</v>
      </c>
      <c r="AO36" s="8"/>
      <c r="AP36" s="16">
        <f t="shared" si="16"/>
        <v>100</v>
      </c>
      <c r="AQ36" s="13">
        <f t="shared" si="17"/>
        <v>25</v>
      </c>
      <c r="AR36" s="8">
        <v>100</v>
      </c>
      <c r="AS36" s="8">
        <v>100</v>
      </c>
      <c r="AT36" s="8">
        <v>100</v>
      </c>
      <c r="AU36" s="8"/>
      <c r="AV36" s="8"/>
      <c r="AW36" s="16">
        <f t="shared" si="10"/>
        <v>100</v>
      </c>
      <c r="AX36" s="13">
        <f t="shared" si="11"/>
        <v>10</v>
      </c>
      <c r="AY36" s="8">
        <v>39</v>
      </c>
      <c r="AZ36" s="13">
        <f t="shared" si="18"/>
        <v>15.600000000000001</v>
      </c>
      <c r="BA36" s="13"/>
      <c r="BB36" s="8"/>
      <c r="BC36" s="13" t="str">
        <f t="shared" si="12"/>
        <v/>
      </c>
      <c r="BD36" s="8"/>
      <c r="BE36" s="13" t="str">
        <f t="shared" si="19"/>
        <v/>
      </c>
      <c r="BF36" s="14">
        <f t="shared" si="13"/>
        <v>71.473076923076917</v>
      </c>
      <c r="BG36" s="15" t="str">
        <f t="shared" si="14"/>
        <v>B</v>
      </c>
      <c r="BH36" s="15" t="str">
        <f t="shared" si="15"/>
        <v>PASS</v>
      </c>
    </row>
    <row r="37" spans="1:60" ht="16" customHeight="1" x14ac:dyDescent="0.2">
      <c r="A37" s="6">
        <v>23</v>
      </c>
      <c r="B37" s="6" t="s">
        <v>200</v>
      </c>
      <c r="C37" s="7" t="s">
        <v>201</v>
      </c>
      <c r="D37" s="6" t="s">
        <v>387</v>
      </c>
      <c r="E37" s="8" t="s">
        <v>362</v>
      </c>
      <c r="F37" s="8" t="s">
        <v>362</v>
      </c>
      <c r="G37" s="8" t="s">
        <v>362</v>
      </c>
      <c r="H37" s="8" t="s">
        <v>467</v>
      </c>
      <c r="I37" s="8" t="s">
        <v>364</v>
      </c>
      <c r="J37" s="8" t="s">
        <v>362</v>
      </c>
      <c r="K37" s="8" t="s">
        <v>362</v>
      </c>
      <c r="L37" s="8" t="s">
        <v>362</v>
      </c>
      <c r="M37" s="33"/>
      <c r="N37" s="8" t="s">
        <v>362</v>
      </c>
      <c r="O37" s="8" t="s">
        <v>362</v>
      </c>
      <c r="P37" s="8" t="s">
        <v>364</v>
      </c>
      <c r="Q37" s="8"/>
      <c r="R37" s="8"/>
      <c r="S37" s="8" t="s">
        <v>467</v>
      </c>
      <c r="T37" s="8"/>
      <c r="U37" s="33"/>
      <c r="V37" s="9">
        <f t="shared" si="0"/>
        <v>8</v>
      </c>
      <c r="W37" s="9">
        <f t="shared" si="1"/>
        <v>2</v>
      </c>
      <c r="X37" s="9">
        <f t="shared" si="2"/>
        <v>0</v>
      </c>
      <c r="Y37" s="9">
        <f t="shared" si="3"/>
        <v>2</v>
      </c>
      <c r="Z37" s="9">
        <f t="shared" si="4"/>
        <v>13</v>
      </c>
      <c r="AA37" s="10">
        <f t="shared" si="5"/>
        <v>0.61538461538461542</v>
      </c>
      <c r="AB37" s="11">
        <f t="shared" si="6"/>
        <v>6.1538461538461542</v>
      </c>
      <c r="AC37" s="12" t="str">
        <f t="shared" si="7"/>
        <v>OK</v>
      </c>
      <c r="AD37" s="8">
        <v>100</v>
      </c>
      <c r="AE37" s="8">
        <v>88</v>
      </c>
      <c r="AF37" s="8">
        <v>83</v>
      </c>
      <c r="AG37" s="8"/>
      <c r="AH37" s="8"/>
      <c r="AI37" s="16">
        <f t="shared" si="8"/>
        <v>90.333333333333329</v>
      </c>
      <c r="AJ37" s="13">
        <f t="shared" si="9"/>
        <v>13.55</v>
      </c>
      <c r="AK37" s="8">
        <v>100</v>
      </c>
      <c r="AL37" s="8">
        <v>100</v>
      </c>
      <c r="AM37" s="8">
        <v>100</v>
      </c>
      <c r="AN37" s="8">
        <v>0</v>
      </c>
      <c r="AO37" s="8"/>
      <c r="AP37" s="16">
        <f t="shared" si="16"/>
        <v>75</v>
      </c>
      <c r="AQ37" s="13">
        <f t="shared" si="17"/>
        <v>18.75</v>
      </c>
      <c r="AR37" s="8">
        <v>100</v>
      </c>
      <c r="AS37" s="8">
        <v>100</v>
      </c>
      <c r="AT37" s="8">
        <v>100</v>
      </c>
      <c r="AU37" s="8"/>
      <c r="AV37" s="8"/>
      <c r="AW37" s="16">
        <f t="shared" si="10"/>
        <v>100</v>
      </c>
      <c r="AX37" s="13">
        <f t="shared" si="11"/>
        <v>10</v>
      </c>
      <c r="AY37" s="8">
        <v>43</v>
      </c>
      <c r="AZ37" s="13">
        <f t="shared" si="18"/>
        <v>17.2</v>
      </c>
      <c r="BA37" s="13"/>
      <c r="BB37" s="8"/>
      <c r="BC37" s="13" t="str">
        <f t="shared" si="12"/>
        <v/>
      </c>
      <c r="BD37" s="8"/>
      <c r="BE37" s="13" t="str">
        <f t="shared" si="19"/>
        <v/>
      </c>
      <c r="BF37" s="14">
        <f t="shared" si="13"/>
        <v>65.65384615384616</v>
      </c>
      <c r="BG37" s="15" t="str">
        <f t="shared" si="14"/>
        <v>C+</v>
      </c>
      <c r="BH37" s="15" t="str">
        <f t="shared" si="15"/>
        <v>PASS</v>
      </c>
    </row>
    <row r="38" spans="1:60" ht="16" customHeight="1" x14ac:dyDescent="0.2">
      <c r="A38" s="6">
        <v>24</v>
      </c>
      <c r="B38" s="6" t="s">
        <v>202</v>
      </c>
      <c r="C38" s="7" t="s">
        <v>203</v>
      </c>
      <c r="D38" s="6" t="s">
        <v>388</v>
      </c>
      <c r="E38" s="8" t="s">
        <v>362</v>
      </c>
      <c r="F38" s="8" t="s">
        <v>364</v>
      </c>
      <c r="G38" s="8" t="s">
        <v>362</v>
      </c>
      <c r="H38" s="8" t="s">
        <v>467</v>
      </c>
      <c r="I38" s="8" t="s">
        <v>362</v>
      </c>
      <c r="J38" s="8" t="s">
        <v>362</v>
      </c>
      <c r="K38" s="8" t="s">
        <v>364</v>
      </c>
      <c r="L38" s="8" t="s">
        <v>362</v>
      </c>
      <c r="M38" s="33"/>
      <c r="N38" s="8" t="s">
        <v>362</v>
      </c>
      <c r="O38" s="8" t="s">
        <v>362</v>
      </c>
      <c r="P38" s="8" t="s">
        <v>362</v>
      </c>
      <c r="Q38" s="8"/>
      <c r="R38" s="8"/>
      <c r="S38" s="8" t="s">
        <v>467</v>
      </c>
      <c r="T38" s="8"/>
      <c r="U38" s="33"/>
      <c r="V38" s="9">
        <f t="shared" si="0"/>
        <v>8</v>
      </c>
      <c r="W38" s="9">
        <f t="shared" si="1"/>
        <v>2</v>
      </c>
      <c r="X38" s="9">
        <f t="shared" si="2"/>
        <v>0</v>
      </c>
      <c r="Y38" s="9">
        <f t="shared" si="3"/>
        <v>2</v>
      </c>
      <c r="Z38" s="9">
        <f t="shared" si="4"/>
        <v>13</v>
      </c>
      <c r="AA38" s="10">
        <f t="shared" si="5"/>
        <v>0.61538461538461542</v>
      </c>
      <c r="AB38" s="11">
        <f t="shared" si="6"/>
        <v>6.1538461538461542</v>
      </c>
      <c r="AC38" s="12" t="str">
        <f t="shared" si="7"/>
        <v>OK</v>
      </c>
      <c r="AD38" s="8">
        <v>100</v>
      </c>
      <c r="AE38" s="8">
        <v>88</v>
      </c>
      <c r="AF38" s="8">
        <v>91</v>
      </c>
      <c r="AG38" s="8"/>
      <c r="AH38" s="8"/>
      <c r="AI38" s="16">
        <f t="shared" si="8"/>
        <v>93</v>
      </c>
      <c r="AJ38" s="13">
        <f t="shared" si="9"/>
        <v>13.950000000000001</v>
      </c>
      <c r="AK38" s="8">
        <v>100</v>
      </c>
      <c r="AL38" s="8">
        <v>0</v>
      </c>
      <c r="AM38" s="8">
        <v>100</v>
      </c>
      <c r="AN38" s="8">
        <v>100</v>
      </c>
      <c r="AO38" s="8"/>
      <c r="AP38" s="16">
        <f t="shared" si="16"/>
        <v>75</v>
      </c>
      <c r="AQ38" s="13">
        <f t="shared" si="17"/>
        <v>18.75</v>
      </c>
      <c r="AR38" s="8">
        <v>0</v>
      </c>
      <c r="AS38" s="8">
        <v>100</v>
      </c>
      <c r="AT38" s="8">
        <v>100</v>
      </c>
      <c r="AU38" s="8"/>
      <c r="AV38" s="8"/>
      <c r="AW38" s="16">
        <f t="shared" si="10"/>
        <v>66.666666666666671</v>
      </c>
      <c r="AX38" s="13">
        <f t="shared" si="11"/>
        <v>6.6666666666666679</v>
      </c>
      <c r="AY38" s="8">
        <v>50</v>
      </c>
      <c r="AZ38" s="13">
        <f t="shared" si="18"/>
        <v>20</v>
      </c>
      <c r="BA38" s="13"/>
      <c r="BB38" s="8"/>
      <c r="BC38" s="13" t="str">
        <f t="shared" si="12"/>
        <v/>
      </c>
      <c r="BD38" s="8"/>
      <c r="BE38" s="13" t="str">
        <f t="shared" si="19"/>
        <v/>
      </c>
      <c r="BF38" s="14">
        <f t="shared" si="13"/>
        <v>65.52051282051282</v>
      </c>
      <c r="BG38" s="15" t="str">
        <f t="shared" si="14"/>
        <v>C+</v>
      </c>
      <c r="BH38" s="15" t="str">
        <f t="shared" si="15"/>
        <v>PASS</v>
      </c>
    </row>
    <row r="39" spans="1:60" ht="16" customHeight="1" x14ac:dyDescent="0.2">
      <c r="A39" s="6">
        <v>25</v>
      </c>
      <c r="B39" s="6" t="s">
        <v>204</v>
      </c>
      <c r="C39" s="7" t="s">
        <v>205</v>
      </c>
      <c r="D39" s="6" t="s">
        <v>389</v>
      </c>
      <c r="E39" s="8" t="s">
        <v>362</v>
      </c>
      <c r="F39" s="8" t="s">
        <v>362</v>
      </c>
      <c r="G39" s="8" t="s">
        <v>362</v>
      </c>
      <c r="H39" s="8" t="s">
        <v>467</v>
      </c>
      <c r="I39" s="8" t="s">
        <v>362</v>
      </c>
      <c r="J39" s="8" t="s">
        <v>362</v>
      </c>
      <c r="K39" s="8" t="s">
        <v>362</v>
      </c>
      <c r="L39" s="8" t="s">
        <v>362</v>
      </c>
      <c r="M39" s="33"/>
      <c r="N39" s="8" t="s">
        <v>362</v>
      </c>
      <c r="O39" s="8" t="s">
        <v>364</v>
      </c>
      <c r="P39" s="8" t="s">
        <v>362</v>
      </c>
      <c r="Q39" s="8"/>
      <c r="R39" s="8"/>
      <c r="S39" s="8" t="s">
        <v>467</v>
      </c>
      <c r="T39" s="8"/>
      <c r="U39" s="33"/>
      <c r="V39" s="9">
        <f t="shared" si="0"/>
        <v>9</v>
      </c>
      <c r="W39" s="9">
        <f t="shared" si="1"/>
        <v>1</v>
      </c>
      <c r="X39" s="9">
        <f t="shared" si="2"/>
        <v>0</v>
      </c>
      <c r="Y39" s="9">
        <f t="shared" si="3"/>
        <v>2</v>
      </c>
      <c r="Z39" s="9">
        <f t="shared" si="4"/>
        <v>13</v>
      </c>
      <c r="AA39" s="10">
        <f t="shared" si="5"/>
        <v>0.69230769230769229</v>
      </c>
      <c r="AB39" s="11">
        <f t="shared" si="6"/>
        <v>6.9230769230769234</v>
      </c>
      <c r="AC39" s="12" t="str">
        <f t="shared" si="7"/>
        <v>OK</v>
      </c>
      <c r="AD39" s="8">
        <v>100</v>
      </c>
      <c r="AE39" s="8">
        <v>88</v>
      </c>
      <c r="AF39" s="8">
        <v>88</v>
      </c>
      <c r="AG39" s="8"/>
      <c r="AH39" s="8"/>
      <c r="AI39" s="16">
        <f t="shared" si="8"/>
        <v>92</v>
      </c>
      <c r="AJ39" s="13">
        <f t="shared" si="9"/>
        <v>13.8</v>
      </c>
      <c r="AK39" s="8">
        <v>100</v>
      </c>
      <c r="AL39" s="8">
        <v>100</v>
      </c>
      <c r="AM39" s="8">
        <v>100</v>
      </c>
      <c r="AN39" s="8">
        <v>100</v>
      </c>
      <c r="AO39" s="8"/>
      <c r="AP39" s="16">
        <f t="shared" si="16"/>
        <v>100</v>
      </c>
      <c r="AQ39" s="13">
        <f t="shared" si="17"/>
        <v>25</v>
      </c>
      <c r="AR39" s="8">
        <v>100</v>
      </c>
      <c r="AS39" s="8">
        <v>100</v>
      </c>
      <c r="AT39" s="8">
        <v>100</v>
      </c>
      <c r="AU39" s="8"/>
      <c r="AV39" s="8"/>
      <c r="AW39" s="16">
        <f t="shared" si="10"/>
        <v>100</v>
      </c>
      <c r="AX39" s="13">
        <f t="shared" si="11"/>
        <v>10</v>
      </c>
      <c r="AY39" s="8">
        <v>41</v>
      </c>
      <c r="AZ39" s="13">
        <f t="shared" si="18"/>
        <v>16.399999999999999</v>
      </c>
      <c r="BA39" s="13"/>
      <c r="BB39" s="8"/>
      <c r="BC39" s="13" t="str">
        <f t="shared" si="12"/>
        <v/>
      </c>
      <c r="BD39" s="8"/>
      <c r="BE39" s="13" t="str">
        <f t="shared" si="19"/>
        <v/>
      </c>
      <c r="BF39" s="14">
        <f t="shared" si="13"/>
        <v>72.123076923076923</v>
      </c>
      <c r="BG39" s="15" t="str">
        <f t="shared" si="14"/>
        <v>B</v>
      </c>
      <c r="BH39" s="15" t="str">
        <f t="shared" si="15"/>
        <v>PASS</v>
      </c>
    </row>
    <row r="40" spans="1:60" ht="16" customHeight="1" x14ac:dyDescent="0.2">
      <c r="A40" s="6">
        <v>26</v>
      </c>
      <c r="B40" s="6" t="s">
        <v>206</v>
      </c>
      <c r="C40" s="7" t="s">
        <v>207</v>
      </c>
      <c r="D40" s="6" t="s">
        <v>390</v>
      </c>
      <c r="E40" s="8" t="s">
        <v>362</v>
      </c>
      <c r="F40" s="8" t="s">
        <v>362</v>
      </c>
      <c r="G40" s="8" t="s">
        <v>362</v>
      </c>
      <c r="H40" s="8" t="s">
        <v>467</v>
      </c>
      <c r="I40" s="8" t="s">
        <v>364</v>
      </c>
      <c r="J40" s="8" t="s">
        <v>362</v>
      </c>
      <c r="K40" s="8" t="s">
        <v>364</v>
      </c>
      <c r="L40" s="8" t="s">
        <v>362</v>
      </c>
      <c r="M40" s="33"/>
      <c r="N40" s="8" t="s">
        <v>362</v>
      </c>
      <c r="O40" s="8" t="s">
        <v>364</v>
      </c>
      <c r="P40" s="8" t="s">
        <v>403</v>
      </c>
      <c r="Q40" s="8"/>
      <c r="R40" s="8"/>
      <c r="S40" s="8" t="s">
        <v>467</v>
      </c>
      <c r="T40" s="8"/>
      <c r="U40" s="33"/>
      <c r="V40" s="9">
        <f t="shared" si="0"/>
        <v>6</v>
      </c>
      <c r="W40" s="9">
        <f t="shared" si="1"/>
        <v>3</v>
      </c>
      <c r="X40" s="9">
        <f t="shared" si="2"/>
        <v>1</v>
      </c>
      <c r="Y40" s="9">
        <f t="shared" si="3"/>
        <v>2</v>
      </c>
      <c r="Z40" s="9">
        <f t="shared" si="4"/>
        <v>13</v>
      </c>
      <c r="AA40" s="10">
        <f t="shared" si="5"/>
        <v>0.53846153846153844</v>
      </c>
      <c r="AB40" s="11">
        <f t="shared" si="6"/>
        <v>5.3846153846153841</v>
      </c>
      <c r="AC40" s="12" t="str">
        <f t="shared" si="7"/>
        <v>WARNING: 3 absences</v>
      </c>
      <c r="AD40" s="8">
        <v>100</v>
      </c>
      <c r="AE40" s="8">
        <v>88</v>
      </c>
      <c r="AF40" s="8">
        <v>0</v>
      </c>
      <c r="AG40" s="8"/>
      <c r="AH40" s="8"/>
      <c r="AI40" s="16">
        <f t="shared" si="8"/>
        <v>62.666666666666664</v>
      </c>
      <c r="AJ40" s="13">
        <f t="shared" si="9"/>
        <v>9.3999999999999986</v>
      </c>
      <c r="AK40" s="8">
        <v>100</v>
      </c>
      <c r="AL40" s="8">
        <v>0</v>
      </c>
      <c r="AM40" s="8">
        <v>100</v>
      </c>
      <c r="AN40" s="8">
        <v>0</v>
      </c>
      <c r="AO40" s="8"/>
      <c r="AP40" s="16">
        <f t="shared" si="16"/>
        <v>50</v>
      </c>
      <c r="AQ40" s="13">
        <f t="shared" si="17"/>
        <v>12.5</v>
      </c>
      <c r="AR40" s="8">
        <v>100</v>
      </c>
      <c r="AS40" s="8">
        <v>100</v>
      </c>
      <c r="AT40" s="8">
        <v>90</v>
      </c>
      <c r="AU40" s="8"/>
      <c r="AV40" s="8"/>
      <c r="AW40" s="16">
        <f t="shared" si="10"/>
        <v>96.666666666666671</v>
      </c>
      <c r="AX40" s="13">
        <f t="shared" si="11"/>
        <v>9.6666666666666661</v>
      </c>
      <c r="AY40" s="8">
        <v>39</v>
      </c>
      <c r="AZ40" s="13">
        <f t="shared" si="18"/>
        <v>15.600000000000001</v>
      </c>
      <c r="BA40" s="13"/>
      <c r="BB40" s="8"/>
      <c r="BC40" s="13" t="str">
        <f t="shared" si="12"/>
        <v/>
      </c>
      <c r="BD40" s="8"/>
      <c r="BE40" s="13" t="str">
        <f t="shared" si="19"/>
        <v/>
      </c>
      <c r="BF40" s="14">
        <f t="shared" si="13"/>
        <v>52.551282051282051</v>
      </c>
      <c r="BG40" s="15" t="str">
        <f t="shared" si="14"/>
        <v>D</v>
      </c>
      <c r="BH40" s="15" t="str">
        <f t="shared" si="15"/>
        <v>PASS</v>
      </c>
    </row>
    <row r="41" spans="1:60" ht="16" customHeight="1" x14ac:dyDescent="0.2">
      <c r="A41" s="6">
        <v>27</v>
      </c>
      <c r="B41" s="6" t="s">
        <v>208</v>
      </c>
      <c r="C41" s="7" t="s">
        <v>209</v>
      </c>
      <c r="D41" s="6" t="s">
        <v>391</v>
      </c>
      <c r="E41" s="8" t="s">
        <v>362</v>
      </c>
      <c r="F41" s="8" t="s">
        <v>362</v>
      </c>
      <c r="G41" s="8" t="s">
        <v>362</v>
      </c>
      <c r="H41" s="8" t="s">
        <v>467</v>
      </c>
      <c r="I41" s="8" t="s">
        <v>362</v>
      </c>
      <c r="J41" s="8" t="s">
        <v>362</v>
      </c>
      <c r="K41" s="8" t="s">
        <v>364</v>
      </c>
      <c r="L41" s="8" t="s">
        <v>362</v>
      </c>
      <c r="M41" s="33"/>
      <c r="N41" s="8" t="s">
        <v>362</v>
      </c>
      <c r="O41" s="8" t="s">
        <v>364</v>
      </c>
      <c r="P41" s="8" t="s">
        <v>364</v>
      </c>
      <c r="Q41" s="8"/>
      <c r="R41" s="8"/>
      <c r="S41" s="8" t="s">
        <v>467</v>
      </c>
      <c r="T41" s="8"/>
      <c r="U41" s="33"/>
      <c r="V41" s="9">
        <f t="shared" si="0"/>
        <v>7</v>
      </c>
      <c r="W41" s="9">
        <f t="shared" si="1"/>
        <v>3</v>
      </c>
      <c r="X41" s="9">
        <f t="shared" si="2"/>
        <v>0</v>
      </c>
      <c r="Y41" s="9">
        <f t="shared" si="3"/>
        <v>2</v>
      </c>
      <c r="Z41" s="9">
        <f t="shared" si="4"/>
        <v>13</v>
      </c>
      <c r="AA41" s="10">
        <f t="shared" si="5"/>
        <v>0.53846153846153844</v>
      </c>
      <c r="AB41" s="11">
        <f t="shared" si="6"/>
        <v>5.3846153846153841</v>
      </c>
      <c r="AC41" s="12" t="str">
        <f t="shared" si="7"/>
        <v>WARNING: 3 absences</v>
      </c>
      <c r="AD41" s="8">
        <v>100</v>
      </c>
      <c r="AE41" s="8">
        <v>88</v>
      </c>
      <c r="AF41" s="8">
        <v>88</v>
      </c>
      <c r="AG41" s="8"/>
      <c r="AH41" s="8"/>
      <c r="AI41" s="16">
        <f t="shared" si="8"/>
        <v>92</v>
      </c>
      <c r="AJ41" s="13">
        <f t="shared" si="9"/>
        <v>13.8</v>
      </c>
      <c r="AK41" s="8">
        <v>100</v>
      </c>
      <c r="AL41" s="8">
        <v>0</v>
      </c>
      <c r="AM41" s="8">
        <v>100</v>
      </c>
      <c r="AN41" s="8">
        <v>0</v>
      </c>
      <c r="AO41" s="8"/>
      <c r="AP41" s="16">
        <f t="shared" si="16"/>
        <v>50</v>
      </c>
      <c r="AQ41" s="13">
        <f t="shared" si="17"/>
        <v>12.5</v>
      </c>
      <c r="AR41" s="8">
        <v>100</v>
      </c>
      <c r="AS41" s="8">
        <v>100</v>
      </c>
      <c r="AT41" s="8">
        <v>90</v>
      </c>
      <c r="AU41" s="8"/>
      <c r="AV41" s="8"/>
      <c r="AW41" s="16">
        <f t="shared" si="10"/>
        <v>96.666666666666671</v>
      </c>
      <c r="AX41" s="13">
        <f t="shared" si="11"/>
        <v>9.6666666666666661</v>
      </c>
      <c r="AY41" s="8">
        <v>40</v>
      </c>
      <c r="AZ41" s="13">
        <f t="shared" si="18"/>
        <v>16</v>
      </c>
      <c r="BA41" s="13"/>
      <c r="BB41" s="8"/>
      <c r="BC41" s="13" t="str">
        <f t="shared" si="12"/>
        <v/>
      </c>
      <c r="BD41" s="8"/>
      <c r="BE41" s="13" t="str">
        <f t="shared" si="19"/>
        <v/>
      </c>
      <c r="BF41" s="14">
        <f t="shared" si="13"/>
        <v>57.351282051282048</v>
      </c>
      <c r="BG41" s="15" t="str">
        <f t="shared" si="14"/>
        <v>D+</v>
      </c>
      <c r="BH41" s="15" t="str">
        <f t="shared" si="15"/>
        <v>PASS</v>
      </c>
    </row>
    <row r="42" spans="1:60" ht="16" customHeight="1" x14ac:dyDescent="0.2">
      <c r="A42" s="6">
        <v>28</v>
      </c>
      <c r="B42" s="6" t="s">
        <v>210</v>
      </c>
      <c r="C42" s="7" t="s">
        <v>211</v>
      </c>
      <c r="D42" s="6" t="s">
        <v>392</v>
      </c>
      <c r="E42" s="8" t="s">
        <v>362</v>
      </c>
      <c r="F42" s="8" t="s">
        <v>362</v>
      </c>
      <c r="G42" s="8" t="s">
        <v>362</v>
      </c>
      <c r="H42" s="8" t="s">
        <v>467</v>
      </c>
      <c r="I42" s="8" t="s">
        <v>362</v>
      </c>
      <c r="J42" s="8" t="s">
        <v>362</v>
      </c>
      <c r="K42" s="8" t="s">
        <v>362</v>
      </c>
      <c r="L42" s="8" t="s">
        <v>364</v>
      </c>
      <c r="M42" s="33"/>
      <c r="N42" s="8" t="s">
        <v>362</v>
      </c>
      <c r="O42" s="8" t="s">
        <v>362</v>
      </c>
      <c r="P42" s="8" t="s">
        <v>362</v>
      </c>
      <c r="Q42" s="8"/>
      <c r="R42" s="8"/>
      <c r="S42" s="8" t="s">
        <v>467</v>
      </c>
      <c r="T42" s="8"/>
      <c r="U42" s="33"/>
      <c r="V42" s="9">
        <f t="shared" si="0"/>
        <v>9</v>
      </c>
      <c r="W42" s="9">
        <f t="shared" si="1"/>
        <v>1</v>
      </c>
      <c r="X42" s="9">
        <f t="shared" si="2"/>
        <v>0</v>
      </c>
      <c r="Y42" s="9">
        <f t="shared" si="3"/>
        <v>2</v>
      </c>
      <c r="Z42" s="9">
        <f t="shared" si="4"/>
        <v>13</v>
      </c>
      <c r="AA42" s="10">
        <f t="shared" si="5"/>
        <v>0.69230769230769229</v>
      </c>
      <c r="AB42" s="11">
        <f t="shared" si="6"/>
        <v>6.9230769230769234</v>
      </c>
      <c r="AC42" s="12" t="str">
        <f t="shared" si="7"/>
        <v>OK</v>
      </c>
      <c r="AD42" s="8">
        <v>100</v>
      </c>
      <c r="AE42" s="8">
        <v>88</v>
      </c>
      <c r="AF42" s="8">
        <v>86</v>
      </c>
      <c r="AG42" s="8"/>
      <c r="AH42" s="8"/>
      <c r="AI42" s="16">
        <f t="shared" si="8"/>
        <v>91.333333333333329</v>
      </c>
      <c r="AJ42" s="13">
        <f t="shared" si="9"/>
        <v>13.7</v>
      </c>
      <c r="AK42" s="8">
        <v>100</v>
      </c>
      <c r="AL42" s="8">
        <v>100</v>
      </c>
      <c r="AM42" s="8">
        <v>100</v>
      </c>
      <c r="AN42" s="8">
        <v>100</v>
      </c>
      <c r="AO42" s="8"/>
      <c r="AP42" s="16">
        <f t="shared" si="16"/>
        <v>100</v>
      </c>
      <c r="AQ42" s="13">
        <f t="shared" si="17"/>
        <v>25</v>
      </c>
      <c r="AR42" s="8">
        <v>100</v>
      </c>
      <c r="AS42" s="8">
        <v>100</v>
      </c>
      <c r="AT42" s="8">
        <v>0</v>
      </c>
      <c r="AU42" s="8"/>
      <c r="AV42" s="8"/>
      <c r="AW42" s="16">
        <f t="shared" si="10"/>
        <v>66.666666666666671</v>
      </c>
      <c r="AX42" s="13">
        <f t="shared" si="11"/>
        <v>6.6666666666666679</v>
      </c>
      <c r="AY42" s="8">
        <v>45</v>
      </c>
      <c r="AZ42" s="13">
        <f t="shared" si="18"/>
        <v>18</v>
      </c>
      <c r="BA42" s="13"/>
      <c r="BB42" s="8"/>
      <c r="BC42" s="13" t="str">
        <f t="shared" si="12"/>
        <v/>
      </c>
      <c r="BD42" s="8"/>
      <c r="BE42" s="13" t="str">
        <f t="shared" si="19"/>
        <v/>
      </c>
      <c r="BF42" s="14">
        <f t="shared" si="13"/>
        <v>70.289743589743594</v>
      </c>
      <c r="BG42" s="15" t="str">
        <f t="shared" si="14"/>
        <v>B</v>
      </c>
      <c r="BH42" s="15" t="str">
        <f t="shared" si="15"/>
        <v>PASS</v>
      </c>
    </row>
    <row r="43" spans="1:60" ht="16" customHeight="1" x14ac:dyDescent="0.2">
      <c r="A43" s="6">
        <v>29</v>
      </c>
      <c r="B43" s="6" t="s">
        <v>212</v>
      </c>
      <c r="C43" s="7" t="s">
        <v>213</v>
      </c>
      <c r="D43" s="6" t="s">
        <v>393</v>
      </c>
      <c r="E43" s="8" t="s">
        <v>362</v>
      </c>
      <c r="F43" s="8" t="s">
        <v>362</v>
      </c>
      <c r="G43" s="8" t="s">
        <v>362</v>
      </c>
      <c r="H43" s="8" t="s">
        <v>467</v>
      </c>
      <c r="I43" s="8" t="s">
        <v>364</v>
      </c>
      <c r="J43" s="8" t="s">
        <v>362</v>
      </c>
      <c r="K43" s="8" t="s">
        <v>362</v>
      </c>
      <c r="L43" s="8" t="s">
        <v>362</v>
      </c>
      <c r="M43" s="33"/>
      <c r="N43" s="8" t="s">
        <v>362</v>
      </c>
      <c r="O43" s="8" t="s">
        <v>362</v>
      </c>
      <c r="P43" s="8" t="s">
        <v>364</v>
      </c>
      <c r="Q43" s="8"/>
      <c r="R43" s="8"/>
      <c r="S43" s="8" t="s">
        <v>467</v>
      </c>
      <c r="T43" s="8"/>
      <c r="U43" s="33"/>
      <c r="V43" s="9">
        <f t="shared" si="0"/>
        <v>8</v>
      </c>
      <c r="W43" s="9">
        <f t="shared" si="1"/>
        <v>2</v>
      </c>
      <c r="X43" s="9">
        <f t="shared" si="2"/>
        <v>0</v>
      </c>
      <c r="Y43" s="9">
        <f t="shared" si="3"/>
        <v>2</v>
      </c>
      <c r="Z43" s="9">
        <f t="shared" si="4"/>
        <v>13</v>
      </c>
      <c r="AA43" s="10">
        <f t="shared" si="5"/>
        <v>0.61538461538461542</v>
      </c>
      <c r="AB43" s="11">
        <f t="shared" si="6"/>
        <v>6.1538461538461542</v>
      </c>
      <c r="AC43" s="12" t="str">
        <f t="shared" si="7"/>
        <v>OK</v>
      </c>
      <c r="AD43" s="8">
        <v>100</v>
      </c>
      <c r="AE43" s="8">
        <v>88</v>
      </c>
      <c r="AF43" s="8">
        <v>100</v>
      </c>
      <c r="AG43" s="8"/>
      <c r="AH43" s="8"/>
      <c r="AI43" s="16">
        <f t="shared" si="8"/>
        <v>96</v>
      </c>
      <c r="AJ43" s="13">
        <f t="shared" si="9"/>
        <v>14.399999999999999</v>
      </c>
      <c r="AK43" s="8">
        <v>100</v>
      </c>
      <c r="AL43" s="8">
        <v>100</v>
      </c>
      <c r="AM43" s="8">
        <v>100</v>
      </c>
      <c r="AN43" s="8">
        <v>0</v>
      </c>
      <c r="AO43" s="8"/>
      <c r="AP43" s="16">
        <f t="shared" si="16"/>
        <v>75</v>
      </c>
      <c r="AQ43" s="13">
        <f t="shared" si="17"/>
        <v>18.75</v>
      </c>
      <c r="AR43" s="8">
        <v>100</v>
      </c>
      <c r="AS43" s="8">
        <v>100</v>
      </c>
      <c r="AT43" s="8">
        <v>80</v>
      </c>
      <c r="AU43" s="8"/>
      <c r="AV43" s="8"/>
      <c r="AW43" s="16">
        <f t="shared" si="10"/>
        <v>93.333333333333329</v>
      </c>
      <c r="AX43" s="13">
        <f t="shared" si="11"/>
        <v>9.3333333333333321</v>
      </c>
      <c r="AY43" s="8">
        <v>50</v>
      </c>
      <c r="AZ43" s="13">
        <f t="shared" si="18"/>
        <v>20</v>
      </c>
      <c r="BA43" s="13"/>
      <c r="BB43" s="8"/>
      <c r="BC43" s="13" t="str">
        <f t="shared" si="12"/>
        <v/>
      </c>
      <c r="BD43" s="8"/>
      <c r="BE43" s="13" t="str">
        <f t="shared" si="19"/>
        <v/>
      </c>
      <c r="BF43" s="14">
        <f t="shared" si="13"/>
        <v>68.63717948717948</v>
      </c>
      <c r="BG43" s="15" t="str">
        <f t="shared" si="14"/>
        <v>C+</v>
      </c>
      <c r="BH43" s="15" t="str">
        <f t="shared" si="15"/>
        <v>PASS</v>
      </c>
    </row>
    <row r="44" spans="1:60" ht="16" customHeight="1" x14ac:dyDescent="0.2">
      <c r="A44" s="6">
        <v>30</v>
      </c>
      <c r="B44" s="6" t="s">
        <v>214</v>
      </c>
      <c r="C44" s="7" t="s">
        <v>215</v>
      </c>
      <c r="D44" s="6" t="s">
        <v>394</v>
      </c>
      <c r="E44" s="8" t="s">
        <v>362</v>
      </c>
      <c r="F44" s="8" t="s">
        <v>362</v>
      </c>
      <c r="G44" s="8" t="s">
        <v>362</v>
      </c>
      <c r="H44" s="8" t="s">
        <v>467</v>
      </c>
      <c r="I44" s="8" t="s">
        <v>362</v>
      </c>
      <c r="J44" s="8" t="s">
        <v>403</v>
      </c>
      <c r="K44" s="8" t="s">
        <v>362</v>
      </c>
      <c r="L44" s="8" t="s">
        <v>362</v>
      </c>
      <c r="M44" s="33"/>
      <c r="N44" s="8" t="s">
        <v>362</v>
      </c>
      <c r="O44" s="8" t="s">
        <v>362</v>
      </c>
      <c r="P44" s="8" t="s">
        <v>362</v>
      </c>
      <c r="Q44" s="8"/>
      <c r="R44" s="8"/>
      <c r="S44" s="8" t="s">
        <v>467</v>
      </c>
      <c r="T44" s="8"/>
      <c r="U44" s="33"/>
      <c r="V44" s="9">
        <f t="shared" si="0"/>
        <v>9</v>
      </c>
      <c r="W44" s="9">
        <f t="shared" si="1"/>
        <v>0</v>
      </c>
      <c r="X44" s="9">
        <f t="shared" si="2"/>
        <v>1</v>
      </c>
      <c r="Y44" s="9">
        <f t="shared" si="3"/>
        <v>2</v>
      </c>
      <c r="Z44" s="9">
        <f t="shared" si="4"/>
        <v>13</v>
      </c>
      <c r="AA44" s="10">
        <f t="shared" si="5"/>
        <v>0.76923076923076927</v>
      </c>
      <c r="AB44" s="11">
        <f t="shared" si="6"/>
        <v>7.6923076923076925</v>
      </c>
      <c r="AC44" s="12" t="str">
        <f t="shared" si="7"/>
        <v>OK</v>
      </c>
      <c r="AD44" s="8">
        <v>100</v>
      </c>
      <c r="AE44" s="8">
        <v>88</v>
      </c>
      <c r="AF44" s="8">
        <v>0</v>
      </c>
      <c r="AG44" s="8"/>
      <c r="AH44" s="8"/>
      <c r="AI44" s="16">
        <f t="shared" si="8"/>
        <v>62.666666666666664</v>
      </c>
      <c r="AJ44" s="13">
        <f t="shared" si="9"/>
        <v>9.3999999999999986</v>
      </c>
      <c r="AK44" s="8">
        <v>100</v>
      </c>
      <c r="AL44" s="8">
        <v>100</v>
      </c>
      <c r="AM44" s="8">
        <v>100</v>
      </c>
      <c r="AN44" s="8">
        <v>100</v>
      </c>
      <c r="AO44" s="8"/>
      <c r="AP44" s="16">
        <f t="shared" si="16"/>
        <v>100</v>
      </c>
      <c r="AQ44" s="13">
        <f t="shared" si="17"/>
        <v>25</v>
      </c>
      <c r="AR44" s="8">
        <v>100</v>
      </c>
      <c r="AS44" s="8">
        <v>100</v>
      </c>
      <c r="AT44" s="8">
        <v>90</v>
      </c>
      <c r="AU44" s="8"/>
      <c r="AV44" s="8"/>
      <c r="AW44" s="16">
        <f t="shared" si="10"/>
        <v>96.666666666666671</v>
      </c>
      <c r="AX44" s="13">
        <f t="shared" si="11"/>
        <v>9.6666666666666661</v>
      </c>
      <c r="AY44" s="8">
        <v>48</v>
      </c>
      <c r="AZ44" s="13">
        <f t="shared" si="18"/>
        <v>19.2</v>
      </c>
      <c r="BA44" s="13"/>
      <c r="BB44" s="8"/>
      <c r="BC44" s="13" t="str">
        <f t="shared" si="12"/>
        <v/>
      </c>
      <c r="BD44" s="8"/>
      <c r="BE44" s="13" t="str">
        <f t="shared" si="19"/>
        <v/>
      </c>
      <c r="BF44" s="14">
        <f t="shared" si="13"/>
        <v>70.958974358974359</v>
      </c>
      <c r="BG44" s="15" t="str">
        <f t="shared" si="14"/>
        <v>B</v>
      </c>
      <c r="BH44" s="15" t="str">
        <f t="shared" si="15"/>
        <v>PASS</v>
      </c>
    </row>
    <row r="45" spans="1:60" ht="16" customHeight="1" x14ac:dyDescent="0.2">
      <c r="A45" s="6">
        <v>31</v>
      </c>
      <c r="B45" s="6" t="s">
        <v>216</v>
      </c>
      <c r="C45" s="7" t="s">
        <v>217</v>
      </c>
      <c r="D45" s="6" t="s">
        <v>395</v>
      </c>
      <c r="E45" s="8" t="s">
        <v>362</v>
      </c>
      <c r="F45" s="8" t="s">
        <v>364</v>
      </c>
      <c r="G45" s="8" t="s">
        <v>362</v>
      </c>
      <c r="H45" s="8" t="s">
        <v>467</v>
      </c>
      <c r="I45" s="8" t="s">
        <v>362</v>
      </c>
      <c r="J45" s="8" t="s">
        <v>362</v>
      </c>
      <c r="K45" s="8" t="s">
        <v>364</v>
      </c>
      <c r="L45" s="8" t="s">
        <v>362</v>
      </c>
      <c r="M45" s="33"/>
      <c r="N45" s="8" t="s">
        <v>362</v>
      </c>
      <c r="O45" s="8" t="s">
        <v>362</v>
      </c>
      <c r="P45" s="8" t="s">
        <v>362</v>
      </c>
      <c r="Q45" s="8"/>
      <c r="R45" s="8"/>
      <c r="S45" s="8" t="s">
        <v>467</v>
      </c>
      <c r="T45" s="8"/>
      <c r="U45" s="33"/>
      <c r="V45" s="9">
        <f t="shared" si="0"/>
        <v>8</v>
      </c>
      <c r="W45" s="9">
        <f t="shared" si="1"/>
        <v>2</v>
      </c>
      <c r="X45" s="9">
        <f t="shared" si="2"/>
        <v>0</v>
      </c>
      <c r="Y45" s="9">
        <f t="shared" si="3"/>
        <v>2</v>
      </c>
      <c r="Z45" s="9">
        <f t="shared" si="4"/>
        <v>13</v>
      </c>
      <c r="AA45" s="10">
        <f t="shared" si="5"/>
        <v>0.61538461538461542</v>
      </c>
      <c r="AB45" s="11">
        <f t="shared" si="6"/>
        <v>6.1538461538461542</v>
      </c>
      <c r="AC45" s="12" t="str">
        <f t="shared" si="7"/>
        <v>OK</v>
      </c>
      <c r="AD45" s="8">
        <v>100</v>
      </c>
      <c r="AE45" s="8">
        <v>88</v>
      </c>
      <c r="AF45" s="8">
        <v>91</v>
      </c>
      <c r="AG45" s="8"/>
      <c r="AH45" s="8"/>
      <c r="AI45" s="16">
        <f t="shared" si="8"/>
        <v>93</v>
      </c>
      <c r="AJ45" s="13">
        <f t="shared" si="9"/>
        <v>13.950000000000001</v>
      </c>
      <c r="AK45" s="8">
        <v>100</v>
      </c>
      <c r="AL45" s="8">
        <v>0</v>
      </c>
      <c r="AM45" s="8">
        <v>100</v>
      </c>
      <c r="AN45" s="8">
        <v>100</v>
      </c>
      <c r="AO45" s="8"/>
      <c r="AP45" s="16">
        <f t="shared" si="16"/>
        <v>75</v>
      </c>
      <c r="AQ45" s="13">
        <f t="shared" si="17"/>
        <v>18.75</v>
      </c>
      <c r="AR45" s="8">
        <v>0</v>
      </c>
      <c r="AS45" s="8">
        <v>100</v>
      </c>
      <c r="AT45" s="8">
        <v>100</v>
      </c>
      <c r="AU45" s="8"/>
      <c r="AV45" s="8"/>
      <c r="AW45" s="16">
        <f t="shared" si="10"/>
        <v>66.666666666666671</v>
      </c>
      <c r="AX45" s="13">
        <f t="shared" si="11"/>
        <v>6.6666666666666679</v>
      </c>
      <c r="AY45" s="8">
        <v>39</v>
      </c>
      <c r="AZ45" s="13">
        <f t="shared" si="18"/>
        <v>15.600000000000001</v>
      </c>
      <c r="BA45" s="13"/>
      <c r="BB45" s="8"/>
      <c r="BC45" s="13" t="str">
        <f t="shared" si="12"/>
        <v/>
      </c>
      <c r="BD45" s="8"/>
      <c r="BE45" s="13" t="str">
        <f t="shared" si="19"/>
        <v/>
      </c>
      <c r="BF45" s="14">
        <f t="shared" si="13"/>
        <v>61.120512820512822</v>
      </c>
      <c r="BG45" s="15" t="str">
        <f t="shared" si="14"/>
        <v>C</v>
      </c>
      <c r="BH45" s="15" t="str">
        <f t="shared" si="15"/>
        <v>PASS</v>
      </c>
    </row>
    <row r="46" spans="1:60" ht="16" customHeight="1" x14ac:dyDescent="0.2">
      <c r="A46" s="6">
        <v>32</v>
      </c>
      <c r="B46" s="6" t="s">
        <v>218</v>
      </c>
      <c r="C46" s="7" t="s">
        <v>219</v>
      </c>
      <c r="D46" s="6" t="s">
        <v>396</v>
      </c>
      <c r="E46" s="8" t="s">
        <v>362</v>
      </c>
      <c r="F46" s="8" t="s">
        <v>362</v>
      </c>
      <c r="G46" s="8" t="s">
        <v>362</v>
      </c>
      <c r="H46" s="8" t="s">
        <v>467</v>
      </c>
      <c r="I46" s="8" t="s">
        <v>362</v>
      </c>
      <c r="J46" s="8" t="s">
        <v>362</v>
      </c>
      <c r="K46" s="8" t="s">
        <v>364</v>
      </c>
      <c r="L46" s="8" t="s">
        <v>362</v>
      </c>
      <c r="M46" s="33"/>
      <c r="N46" s="8" t="s">
        <v>362</v>
      </c>
      <c r="O46" s="8" t="s">
        <v>362</v>
      </c>
      <c r="P46" s="8" t="s">
        <v>362</v>
      </c>
      <c r="Q46" s="8"/>
      <c r="R46" s="8"/>
      <c r="S46" s="8" t="s">
        <v>467</v>
      </c>
      <c r="T46" s="8"/>
      <c r="U46" s="33"/>
      <c r="V46" s="9">
        <f t="shared" si="0"/>
        <v>9</v>
      </c>
      <c r="W46" s="9">
        <f t="shared" si="1"/>
        <v>1</v>
      </c>
      <c r="X46" s="9">
        <f t="shared" si="2"/>
        <v>0</v>
      </c>
      <c r="Y46" s="9">
        <f t="shared" si="3"/>
        <v>2</v>
      </c>
      <c r="Z46" s="9">
        <f t="shared" si="4"/>
        <v>13</v>
      </c>
      <c r="AA46" s="10">
        <f t="shared" si="5"/>
        <v>0.69230769230769229</v>
      </c>
      <c r="AB46" s="11">
        <f t="shared" si="6"/>
        <v>6.9230769230769234</v>
      </c>
      <c r="AC46" s="12" t="str">
        <f t="shared" si="7"/>
        <v>OK</v>
      </c>
      <c r="AD46" s="8">
        <v>100</v>
      </c>
      <c r="AE46" s="8">
        <v>88</v>
      </c>
      <c r="AF46" s="8">
        <v>0</v>
      </c>
      <c r="AG46" s="8"/>
      <c r="AH46" s="8"/>
      <c r="AI46" s="16">
        <f t="shared" si="8"/>
        <v>62.666666666666664</v>
      </c>
      <c r="AJ46" s="13">
        <f t="shared" si="9"/>
        <v>9.3999999999999986</v>
      </c>
      <c r="AK46" s="8">
        <v>100</v>
      </c>
      <c r="AL46" s="8">
        <v>0</v>
      </c>
      <c r="AM46" s="8">
        <v>100</v>
      </c>
      <c r="AN46" s="8">
        <v>100</v>
      </c>
      <c r="AO46" s="8"/>
      <c r="AP46" s="16">
        <f t="shared" si="16"/>
        <v>75</v>
      </c>
      <c r="AQ46" s="13">
        <f t="shared" si="17"/>
        <v>18.75</v>
      </c>
      <c r="AR46" s="8">
        <v>100</v>
      </c>
      <c r="AS46" s="8">
        <v>100</v>
      </c>
      <c r="AT46" s="8">
        <v>80</v>
      </c>
      <c r="AU46" s="8"/>
      <c r="AV46" s="8"/>
      <c r="AW46" s="16">
        <f t="shared" si="10"/>
        <v>93.333333333333329</v>
      </c>
      <c r="AX46" s="13">
        <f t="shared" si="11"/>
        <v>9.3333333333333321</v>
      </c>
      <c r="AY46" s="8">
        <v>49</v>
      </c>
      <c r="AZ46" s="13">
        <f t="shared" si="18"/>
        <v>19.600000000000001</v>
      </c>
      <c r="BA46" s="13"/>
      <c r="BB46" s="8"/>
      <c r="BC46" s="13" t="str">
        <f t="shared" si="12"/>
        <v/>
      </c>
      <c r="BD46" s="8"/>
      <c r="BE46" s="13" t="str">
        <f t="shared" si="19"/>
        <v/>
      </c>
      <c r="BF46" s="14">
        <f t="shared" si="13"/>
        <v>64.006410256410248</v>
      </c>
      <c r="BG46" s="15" t="str">
        <f t="shared" si="14"/>
        <v>C</v>
      </c>
      <c r="BH46" s="15" t="str">
        <f t="shared" si="15"/>
        <v>PASS</v>
      </c>
    </row>
    <row r="47" spans="1:60" ht="16" customHeight="1" x14ac:dyDescent="0.2">
      <c r="A47" s="6">
        <v>33</v>
      </c>
      <c r="B47" s="6" t="s">
        <v>220</v>
      </c>
      <c r="C47" s="7" t="s">
        <v>221</v>
      </c>
      <c r="D47" s="6" t="s">
        <v>397</v>
      </c>
      <c r="E47" s="8" t="s">
        <v>362</v>
      </c>
      <c r="F47" s="8" t="s">
        <v>362</v>
      </c>
      <c r="G47" s="8" t="s">
        <v>362</v>
      </c>
      <c r="H47" s="8" t="s">
        <v>467</v>
      </c>
      <c r="I47" s="8" t="s">
        <v>362</v>
      </c>
      <c r="J47" s="8" t="s">
        <v>362</v>
      </c>
      <c r="K47" s="8" t="s">
        <v>362</v>
      </c>
      <c r="L47" s="8" t="s">
        <v>362</v>
      </c>
      <c r="M47" s="33"/>
      <c r="N47" s="8" t="s">
        <v>362</v>
      </c>
      <c r="O47" s="8" t="s">
        <v>362</v>
      </c>
      <c r="P47" s="8" t="s">
        <v>362</v>
      </c>
      <c r="Q47" s="8"/>
      <c r="R47" s="8"/>
      <c r="S47" s="8" t="s">
        <v>467</v>
      </c>
      <c r="T47" s="8"/>
      <c r="U47" s="33"/>
      <c r="V47" s="9">
        <f t="shared" si="0"/>
        <v>10</v>
      </c>
      <c r="W47" s="9">
        <f t="shared" si="1"/>
        <v>0</v>
      </c>
      <c r="X47" s="9">
        <f t="shared" si="2"/>
        <v>0</v>
      </c>
      <c r="Y47" s="9">
        <f t="shared" si="3"/>
        <v>2</v>
      </c>
      <c r="Z47" s="9">
        <f t="shared" si="4"/>
        <v>13</v>
      </c>
      <c r="AA47" s="10">
        <f t="shared" si="5"/>
        <v>0.76923076923076927</v>
      </c>
      <c r="AB47" s="11">
        <f t="shared" si="6"/>
        <v>7.6923076923076925</v>
      </c>
      <c r="AC47" s="12" t="str">
        <f t="shared" si="7"/>
        <v>OK</v>
      </c>
      <c r="AD47" s="8">
        <v>100</v>
      </c>
      <c r="AE47" s="8">
        <v>88</v>
      </c>
      <c r="AF47" s="8">
        <v>88</v>
      </c>
      <c r="AG47" s="8"/>
      <c r="AH47" s="8"/>
      <c r="AI47" s="16">
        <f t="shared" si="8"/>
        <v>92</v>
      </c>
      <c r="AJ47" s="13">
        <f t="shared" si="9"/>
        <v>13.8</v>
      </c>
      <c r="AK47" s="8">
        <v>100</v>
      </c>
      <c r="AL47" s="8">
        <v>100</v>
      </c>
      <c r="AM47" s="8">
        <v>100</v>
      </c>
      <c r="AN47" s="8">
        <v>100</v>
      </c>
      <c r="AO47" s="8"/>
      <c r="AP47" s="16">
        <f t="shared" si="16"/>
        <v>100</v>
      </c>
      <c r="AQ47" s="13">
        <f t="shared" si="17"/>
        <v>25</v>
      </c>
      <c r="AR47" s="8">
        <v>100</v>
      </c>
      <c r="AS47" s="8">
        <v>100</v>
      </c>
      <c r="AT47" s="8">
        <v>100</v>
      </c>
      <c r="AU47" s="8"/>
      <c r="AV47" s="8"/>
      <c r="AW47" s="16">
        <f t="shared" si="10"/>
        <v>100</v>
      </c>
      <c r="AX47" s="13">
        <f t="shared" si="11"/>
        <v>10</v>
      </c>
      <c r="AY47" s="8">
        <v>43</v>
      </c>
      <c r="AZ47" s="13">
        <f t="shared" si="18"/>
        <v>17.2</v>
      </c>
      <c r="BA47" s="13"/>
      <c r="BB47" s="8"/>
      <c r="BC47" s="13" t="str">
        <f t="shared" si="12"/>
        <v/>
      </c>
      <c r="BD47" s="8"/>
      <c r="BE47" s="13" t="str">
        <f t="shared" si="19"/>
        <v/>
      </c>
      <c r="BF47" s="14">
        <f t="shared" si="13"/>
        <v>73.692307692307693</v>
      </c>
      <c r="BG47" s="15" t="str">
        <f t="shared" si="14"/>
        <v>B</v>
      </c>
      <c r="BH47" s="15" t="str">
        <f t="shared" si="15"/>
        <v>PASS</v>
      </c>
    </row>
    <row r="48" spans="1:60" ht="16" customHeight="1" x14ac:dyDescent="0.2">
      <c r="A48" s="6">
        <v>34</v>
      </c>
      <c r="B48" s="6" t="s">
        <v>222</v>
      </c>
      <c r="C48" s="7" t="s">
        <v>223</v>
      </c>
      <c r="D48" s="6" t="s">
        <v>398</v>
      </c>
      <c r="E48" s="8" t="s">
        <v>362</v>
      </c>
      <c r="F48" s="8" t="s">
        <v>362</v>
      </c>
      <c r="G48" s="8" t="s">
        <v>362</v>
      </c>
      <c r="H48" s="8" t="s">
        <v>467</v>
      </c>
      <c r="I48" s="8" t="s">
        <v>362</v>
      </c>
      <c r="J48" s="8" t="s">
        <v>362</v>
      </c>
      <c r="K48" s="8" t="s">
        <v>362</v>
      </c>
      <c r="L48" s="8" t="s">
        <v>362</v>
      </c>
      <c r="M48" s="33"/>
      <c r="N48" s="8" t="s">
        <v>362</v>
      </c>
      <c r="O48" s="8" t="s">
        <v>364</v>
      </c>
      <c r="P48" s="8" t="s">
        <v>362</v>
      </c>
      <c r="Q48" s="8"/>
      <c r="R48" s="8"/>
      <c r="S48" s="8" t="s">
        <v>467</v>
      </c>
      <c r="T48" s="8"/>
      <c r="U48" s="33"/>
      <c r="V48" s="9">
        <f t="shared" si="0"/>
        <v>9</v>
      </c>
      <c r="W48" s="9">
        <f t="shared" si="1"/>
        <v>1</v>
      </c>
      <c r="X48" s="9">
        <f t="shared" si="2"/>
        <v>0</v>
      </c>
      <c r="Y48" s="9">
        <f t="shared" si="3"/>
        <v>2</v>
      </c>
      <c r="Z48" s="9">
        <f t="shared" si="4"/>
        <v>13</v>
      </c>
      <c r="AA48" s="10">
        <f t="shared" si="5"/>
        <v>0.69230769230769229</v>
      </c>
      <c r="AB48" s="11">
        <f t="shared" si="6"/>
        <v>6.9230769230769234</v>
      </c>
      <c r="AC48" s="12" t="str">
        <f t="shared" si="7"/>
        <v>OK</v>
      </c>
      <c r="AD48" s="8">
        <v>100</v>
      </c>
      <c r="AE48" s="8">
        <v>88</v>
      </c>
      <c r="AF48" s="8">
        <v>79</v>
      </c>
      <c r="AG48" s="8"/>
      <c r="AH48" s="8"/>
      <c r="AI48" s="16">
        <f t="shared" si="8"/>
        <v>89</v>
      </c>
      <c r="AJ48" s="13">
        <f t="shared" si="9"/>
        <v>13.35</v>
      </c>
      <c r="AK48" s="8">
        <v>100</v>
      </c>
      <c r="AL48" s="8">
        <v>100</v>
      </c>
      <c r="AM48" s="8">
        <v>100</v>
      </c>
      <c r="AN48" s="8">
        <v>100</v>
      </c>
      <c r="AO48" s="8"/>
      <c r="AP48" s="16">
        <f t="shared" si="16"/>
        <v>100</v>
      </c>
      <c r="AQ48" s="13">
        <f t="shared" si="17"/>
        <v>25</v>
      </c>
      <c r="AR48" s="8">
        <v>100</v>
      </c>
      <c r="AS48" s="8">
        <v>100</v>
      </c>
      <c r="AT48" s="8">
        <v>80</v>
      </c>
      <c r="AU48" s="8"/>
      <c r="AV48" s="8"/>
      <c r="AW48" s="16">
        <f t="shared" si="10"/>
        <v>93.333333333333329</v>
      </c>
      <c r="AX48" s="13">
        <f t="shared" si="11"/>
        <v>9.3333333333333321</v>
      </c>
      <c r="AY48" s="8">
        <v>42</v>
      </c>
      <c r="AZ48" s="13">
        <f t="shared" si="18"/>
        <v>16.8</v>
      </c>
      <c r="BA48" s="13"/>
      <c r="BB48" s="8"/>
      <c r="BC48" s="13" t="str">
        <f t="shared" si="12"/>
        <v/>
      </c>
      <c r="BD48" s="8"/>
      <c r="BE48" s="13" t="str">
        <f t="shared" si="19"/>
        <v/>
      </c>
      <c r="BF48" s="14">
        <f t="shared" si="13"/>
        <v>71.406410256410254</v>
      </c>
      <c r="BG48" s="15" t="str">
        <f t="shared" si="14"/>
        <v>B</v>
      </c>
      <c r="BH48" s="15" t="str">
        <f t="shared" si="15"/>
        <v>PASS</v>
      </c>
    </row>
    <row r="49" spans="1:60" ht="16" customHeight="1" x14ac:dyDescent="0.2">
      <c r="A49" s="6">
        <v>35</v>
      </c>
      <c r="B49" s="6" t="s">
        <v>224</v>
      </c>
      <c r="C49" s="7" t="s">
        <v>225</v>
      </c>
      <c r="D49" s="6" t="s">
        <v>399</v>
      </c>
      <c r="E49" s="8" t="s">
        <v>362</v>
      </c>
      <c r="F49" s="8" t="s">
        <v>364</v>
      </c>
      <c r="G49" s="8" t="s">
        <v>362</v>
      </c>
      <c r="H49" s="8" t="s">
        <v>467</v>
      </c>
      <c r="I49" s="8" t="s">
        <v>362</v>
      </c>
      <c r="J49" s="8" t="s">
        <v>362</v>
      </c>
      <c r="K49" s="8" t="s">
        <v>364</v>
      </c>
      <c r="L49" s="8" t="s">
        <v>362</v>
      </c>
      <c r="M49" s="33"/>
      <c r="N49" s="8" t="s">
        <v>362</v>
      </c>
      <c r="O49" s="8" t="s">
        <v>362</v>
      </c>
      <c r="P49" s="8" t="s">
        <v>362</v>
      </c>
      <c r="Q49" s="8"/>
      <c r="R49" s="8"/>
      <c r="S49" s="8" t="s">
        <v>467</v>
      </c>
      <c r="T49" s="8"/>
      <c r="U49" s="33"/>
      <c r="V49" s="9">
        <f t="shared" si="0"/>
        <v>8</v>
      </c>
      <c r="W49" s="9">
        <f t="shared" si="1"/>
        <v>2</v>
      </c>
      <c r="X49" s="9">
        <f t="shared" si="2"/>
        <v>0</v>
      </c>
      <c r="Y49" s="9">
        <f t="shared" si="3"/>
        <v>2</v>
      </c>
      <c r="Z49" s="9">
        <f t="shared" si="4"/>
        <v>13</v>
      </c>
      <c r="AA49" s="10">
        <f t="shared" si="5"/>
        <v>0.61538461538461542</v>
      </c>
      <c r="AB49" s="11">
        <f t="shared" si="6"/>
        <v>6.1538461538461542</v>
      </c>
      <c r="AC49" s="12" t="str">
        <f t="shared" si="7"/>
        <v>OK</v>
      </c>
      <c r="AD49" s="8">
        <v>100</v>
      </c>
      <c r="AE49" s="8">
        <v>88</v>
      </c>
      <c r="AF49" s="8">
        <v>91</v>
      </c>
      <c r="AG49" s="8"/>
      <c r="AH49" s="8"/>
      <c r="AI49" s="16">
        <f t="shared" si="8"/>
        <v>93</v>
      </c>
      <c r="AJ49" s="13">
        <f t="shared" si="9"/>
        <v>13.950000000000001</v>
      </c>
      <c r="AK49" s="8">
        <v>100</v>
      </c>
      <c r="AL49" s="8">
        <v>0</v>
      </c>
      <c r="AM49" s="8">
        <v>100</v>
      </c>
      <c r="AN49" s="8">
        <v>100</v>
      </c>
      <c r="AO49" s="8"/>
      <c r="AP49" s="16">
        <f t="shared" si="16"/>
        <v>75</v>
      </c>
      <c r="AQ49" s="13">
        <f t="shared" si="17"/>
        <v>18.75</v>
      </c>
      <c r="AR49" s="8">
        <v>0</v>
      </c>
      <c r="AS49" s="8">
        <v>100</v>
      </c>
      <c r="AT49" s="8">
        <v>90</v>
      </c>
      <c r="AU49" s="8"/>
      <c r="AV49" s="8"/>
      <c r="AW49" s="16">
        <f t="shared" si="10"/>
        <v>63.333333333333336</v>
      </c>
      <c r="AX49" s="13">
        <f t="shared" si="11"/>
        <v>6.333333333333333</v>
      </c>
      <c r="AY49" s="8">
        <v>40</v>
      </c>
      <c r="AZ49" s="13">
        <f t="shared" si="18"/>
        <v>16</v>
      </c>
      <c r="BA49" s="13"/>
      <c r="BB49" s="8"/>
      <c r="BC49" s="13" t="str">
        <f t="shared" si="12"/>
        <v/>
      </c>
      <c r="BD49" s="8"/>
      <c r="BE49" s="13" t="str">
        <f t="shared" si="19"/>
        <v/>
      </c>
      <c r="BF49" s="14">
        <f t="shared" si="13"/>
        <v>61.187179487179492</v>
      </c>
      <c r="BG49" s="15" t="str">
        <f t="shared" si="14"/>
        <v>C</v>
      </c>
      <c r="BH49" s="15" t="str">
        <f t="shared" si="15"/>
        <v>PASS</v>
      </c>
    </row>
    <row r="50" spans="1:60" ht="16" customHeight="1" x14ac:dyDescent="0.2">
      <c r="A50" s="6">
        <v>36</v>
      </c>
      <c r="B50" s="6" t="s">
        <v>226</v>
      </c>
      <c r="C50" s="7" t="s">
        <v>227</v>
      </c>
      <c r="D50" s="6" t="s">
        <v>400</v>
      </c>
      <c r="E50" s="8" t="s">
        <v>362</v>
      </c>
      <c r="F50" s="8" t="s">
        <v>362</v>
      </c>
      <c r="G50" s="8" t="s">
        <v>362</v>
      </c>
      <c r="H50" s="8" t="s">
        <v>467</v>
      </c>
      <c r="I50" s="8" t="s">
        <v>364</v>
      </c>
      <c r="J50" s="8" t="s">
        <v>362</v>
      </c>
      <c r="K50" s="8" t="s">
        <v>364</v>
      </c>
      <c r="L50" s="8" t="s">
        <v>362</v>
      </c>
      <c r="M50" s="33"/>
      <c r="N50" s="8" t="s">
        <v>362</v>
      </c>
      <c r="O50" s="8" t="s">
        <v>362</v>
      </c>
      <c r="P50" s="8" t="s">
        <v>362</v>
      </c>
      <c r="Q50" s="8"/>
      <c r="R50" s="8"/>
      <c r="S50" s="8" t="s">
        <v>467</v>
      </c>
      <c r="T50" s="8"/>
      <c r="U50" s="33"/>
      <c r="V50" s="9">
        <f t="shared" si="0"/>
        <v>8</v>
      </c>
      <c r="W50" s="9">
        <f t="shared" si="1"/>
        <v>2</v>
      </c>
      <c r="X50" s="9">
        <f t="shared" si="2"/>
        <v>0</v>
      </c>
      <c r="Y50" s="9">
        <f t="shared" si="3"/>
        <v>2</v>
      </c>
      <c r="Z50" s="9">
        <f t="shared" si="4"/>
        <v>13</v>
      </c>
      <c r="AA50" s="10">
        <f t="shared" si="5"/>
        <v>0.61538461538461542</v>
      </c>
      <c r="AB50" s="11">
        <f t="shared" si="6"/>
        <v>6.1538461538461542</v>
      </c>
      <c r="AC50" s="12" t="str">
        <f t="shared" si="7"/>
        <v>OK</v>
      </c>
      <c r="AD50" s="8">
        <v>100</v>
      </c>
      <c r="AE50" s="8">
        <v>88</v>
      </c>
      <c r="AF50" s="8">
        <v>0</v>
      </c>
      <c r="AG50" s="8"/>
      <c r="AH50" s="8"/>
      <c r="AI50" s="16">
        <f t="shared" si="8"/>
        <v>62.666666666666664</v>
      </c>
      <c r="AJ50" s="13">
        <f t="shared" si="9"/>
        <v>9.3999999999999986</v>
      </c>
      <c r="AK50" s="8">
        <v>100</v>
      </c>
      <c r="AL50" s="8">
        <v>0</v>
      </c>
      <c r="AM50" s="8">
        <v>100</v>
      </c>
      <c r="AN50" s="8">
        <v>100</v>
      </c>
      <c r="AO50" s="8"/>
      <c r="AP50" s="16">
        <f t="shared" si="16"/>
        <v>75</v>
      </c>
      <c r="AQ50" s="13">
        <f t="shared" si="17"/>
        <v>18.75</v>
      </c>
      <c r="AR50" s="8">
        <v>100</v>
      </c>
      <c r="AS50" s="8">
        <v>100</v>
      </c>
      <c r="AT50" s="8">
        <v>90</v>
      </c>
      <c r="AU50" s="8"/>
      <c r="AV50" s="8"/>
      <c r="AW50" s="16">
        <f t="shared" si="10"/>
        <v>96.666666666666671</v>
      </c>
      <c r="AX50" s="13">
        <f t="shared" si="11"/>
        <v>9.6666666666666661</v>
      </c>
      <c r="AY50" s="8">
        <v>46</v>
      </c>
      <c r="AZ50" s="13">
        <f t="shared" si="18"/>
        <v>18.400000000000002</v>
      </c>
      <c r="BA50" s="13"/>
      <c r="BB50" s="8"/>
      <c r="BC50" s="13" t="str">
        <f t="shared" si="12"/>
        <v/>
      </c>
      <c r="BD50" s="8"/>
      <c r="BE50" s="13" t="str">
        <f t="shared" si="19"/>
        <v/>
      </c>
      <c r="BF50" s="14">
        <f t="shared" si="13"/>
        <v>62.370512820512815</v>
      </c>
      <c r="BG50" s="15" t="str">
        <f t="shared" si="14"/>
        <v>C</v>
      </c>
      <c r="BH50" s="15" t="str">
        <f t="shared" si="15"/>
        <v>PASS</v>
      </c>
    </row>
    <row r="51" spans="1:60" ht="16" customHeight="1" x14ac:dyDescent="0.2">
      <c r="A51" s="6">
        <v>37</v>
      </c>
      <c r="B51" s="6" t="s">
        <v>228</v>
      </c>
      <c r="C51" s="7" t="s">
        <v>229</v>
      </c>
      <c r="D51" s="6" t="s">
        <v>401</v>
      </c>
      <c r="E51" s="8" t="s">
        <v>362</v>
      </c>
      <c r="F51" s="8" t="s">
        <v>362</v>
      </c>
      <c r="G51" s="8" t="s">
        <v>362</v>
      </c>
      <c r="H51" s="8" t="s">
        <v>467</v>
      </c>
      <c r="I51" s="8" t="s">
        <v>362</v>
      </c>
      <c r="J51" s="8" t="s">
        <v>364</v>
      </c>
      <c r="K51" s="8" t="s">
        <v>364</v>
      </c>
      <c r="L51" s="8" t="s">
        <v>362</v>
      </c>
      <c r="M51" s="33"/>
      <c r="N51" s="8" t="s">
        <v>362</v>
      </c>
      <c r="O51" s="8" t="s">
        <v>362</v>
      </c>
      <c r="P51" s="8" t="s">
        <v>362</v>
      </c>
      <c r="Q51" s="8"/>
      <c r="R51" s="8"/>
      <c r="S51" s="8" t="s">
        <v>467</v>
      </c>
      <c r="T51" s="8"/>
      <c r="U51" s="33"/>
      <c r="V51" s="9">
        <f t="shared" si="0"/>
        <v>8</v>
      </c>
      <c r="W51" s="9">
        <f t="shared" si="1"/>
        <v>2</v>
      </c>
      <c r="X51" s="9">
        <f t="shared" si="2"/>
        <v>0</v>
      </c>
      <c r="Y51" s="9">
        <f t="shared" si="3"/>
        <v>2</v>
      </c>
      <c r="Z51" s="9">
        <f t="shared" si="4"/>
        <v>13</v>
      </c>
      <c r="AA51" s="10">
        <f t="shared" si="5"/>
        <v>0.61538461538461542</v>
      </c>
      <c r="AB51" s="11">
        <f t="shared" si="6"/>
        <v>6.1538461538461542</v>
      </c>
      <c r="AC51" s="12" t="str">
        <f t="shared" si="7"/>
        <v>OK</v>
      </c>
      <c r="AD51" s="8">
        <v>100</v>
      </c>
      <c r="AE51" s="8">
        <v>88</v>
      </c>
      <c r="AF51" s="8">
        <v>0</v>
      </c>
      <c r="AG51" s="8"/>
      <c r="AH51" s="8"/>
      <c r="AI51" s="16">
        <f t="shared" si="8"/>
        <v>62.666666666666664</v>
      </c>
      <c r="AJ51" s="13">
        <f t="shared" si="9"/>
        <v>9.3999999999999986</v>
      </c>
      <c r="AK51" s="8">
        <v>100</v>
      </c>
      <c r="AL51" s="8">
        <v>0</v>
      </c>
      <c r="AM51" s="8">
        <v>100</v>
      </c>
      <c r="AN51" s="8">
        <v>100</v>
      </c>
      <c r="AO51" s="8"/>
      <c r="AP51" s="16">
        <f t="shared" si="16"/>
        <v>75</v>
      </c>
      <c r="AQ51" s="13">
        <f t="shared" si="17"/>
        <v>18.75</v>
      </c>
      <c r="AR51" s="8">
        <v>100</v>
      </c>
      <c r="AS51" s="8">
        <v>100</v>
      </c>
      <c r="AT51" s="8">
        <v>100</v>
      </c>
      <c r="AU51" s="8"/>
      <c r="AV51" s="8"/>
      <c r="AW51" s="16">
        <f t="shared" si="10"/>
        <v>100</v>
      </c>
      <c r="AX51" s="13">
        <f t="shared" si="11"/>
        <v>10</v>
      </c>
      <c r="AY51" s="8">
        <v>41</v>
      </c>
      <c r="AZ51" s="13">
        <f t="shared" si="18"/>
        <v>16.399999999999999</v>
      </c>
      <c r="BA51" s="13"/>
      <c r="BB51" s="8"/>
      <c r="BC51" s="13" t="str">
        <f t="shared" si="12"/>
        <v/>
      </c>
      <c r="BD51" s="8"/>
      <c r="BE51" s="13" t="str">
        <f t="shared" si="19"/>
        <v/>
      </c>
      <c r="BF51" s="14">
        <f t="shared" si="13"/>
        <v>60.70384615384615</v>
      </c>
      <c r="BG51" s="15" t="str">
        <f t="shared" si="14"/>
        <v>C</v>
      </c>
      <c r="BH51" s="15" t="str">
        <f t="shared" si="15"/>
        <v>PASS</v>
      </c>
    </row>
    <row r="52" spans="1:60" ht="16" customHeight="1" x14ac:dyDescent="0.2">
      <c r="A52" s="6">
        <v>38</v>
      </c>
      <c r="B52" s="6" t="s">
        <v>230</v>
      </c>
      <c r="C52" s="7" t="s">
        <v>231</v>
      </c>
      <c r="D52" s="6" t="s">
        <v>402</v>
      </c>
      <c r="E52" s="8" t="s">
        <v>362</v>
      </c>
      <c r="F52" s="8" t="s">
        <v>362</v>
      </c>
      <c r="G52" s="8" t="s">
        <v>362</v>
      </c>
      <c r="H52" s="8" t="s">
        <v>467</v>
      </c>
      <c r="I52" s="8" t="s">
        <v>362</v>
      </c>
      <c r="J52" s="8" t="s">
        <v>362</v>
      </c>
      <c r="K52" s="8" t="s">
        <v>364</v>
      </c>
      <c r="L52" s="8" t="s">
        <v>362</v>
      </c>
      <c r="M52" s="33"/>
      <c r="N52" s="8" t="s">
        <v>362</v>
      </c>
      <c r="O52" s="8" t="s">
        <v>362</v>
      </c>
      <c r="P52" s="8" t="s">
        <v>362</v>
      </c>
      <c r="Q52" s="8"/>
      <c r="R52" s="8"/>
      <c r="S52" s="8" t="s">
        <v>467</v>
      </c>
      <c r="T52" s="8"/>
      <c r="U52" s="33"/>
      <c r="V52" s="9">
        <f t="shared" si="0"/>
        <v>9</v>
      </c>
      <c r="W52" s="9">
        <f t="shared" si="1"/>
        <v>1</v>
      </c>
      <c r="X52" s="9">
        <f t="shared" si="2"/>
        <v>0</v>
      </c>
      <c r="Y52" s="9">
        <f t="shared" si="3"/>
        <v>2</v>
      </c>
      <c r="Z52" s="9">
        <f t="shared" si="4"/>
        <v>13</v>
      </c>
      <c r="AA52" s="10">
        <f t="shared" si="5"/>
        <v>0.69230769230769229</v>
      </c>
      <c r="AB52" s="11">
        <f t="shared" si="6"/>
        <v>6.9230769230769234</v>
      </c>
      <c r="AC52" s="12" t="str">
        <f t="shared" si="7"/>
        <v>OK</v>
      </c>
      <c r="AD52" s="8">
        <v>100</v>
      </c>
      <c r="AE52" s="8">
        <v>88</v>
      </c>
      <c r="AF52" s="8">
        <v>79</v>
      </c>
      <c r="AG52" s="8"/>
      <c r="AH52" s="8"/>
      <c r="AI52" s="16">
        <f t="shared" si="8"/>
        <v>89</v>
      </c>
      <c r="AJ52" s="13">
        <f t="shared" si="9"/>
        <v>13.35</v>
      </c>
      <c r="AK52" s="8">
        <v>100</v>
      </c>
      <c r="AL52" s="8">
        <v>0</v>
      </c>
      <c r="AM52" s="8">
        <v>100</v>
      </c>
      <c r="AN52" s="8">
        <v>100</v>
      </c>
      <c r="AO52" s="8"/>
      <c r="AP52" s="16">
        <f t="shared" si="16"/>
        <v>75</v>
      </c>
      <c r="AQ52" s="13">
        <f t="shared" si="17"/>
        <v>18.75</v>
      </c>
      <c r="AR52" s="8">
        <v>100</v>
      </c>
      <c r="AS52" s="8">
        <v>100</v>
      </c>
      <c r="AT52" s="8">
        <v>80</v>
      </c>
      <c r="AU52" s="8"/>
      <c r="AV52" s="8"/>
      <c r="AW52" s="16">
        <f t="shared" si="10"/>
        <v>93.333333333333329</v>
      </c>
      <c r="AX52" s="13">
        <f t="shared" si="11"/>
        <v>9.3333333333333321</v>
      </c>
      <c r="AY52" s="8">
        <v>39</v>
      </c>
      <c r="AZ52" s="13">
        <f t="shared" si="18"/>
        <v>15.600000000000001</v>
      </c>
      <c r="BA52" s="13"/>
      <c r="BB52" s="8"/>
      <c r="BC52" s="13" t="str">
        <f t="shared" si="12"/>
        <v/>
      </c>
      <c r="BD52" s="8"/>
      <c r="BE52" s="13" t="str">
        <f t="shared" si="19"/>
        <v/>
      </c>
      <c r="BF52" s="14">
        <f t="shared" si="13"/>
        <v>63.956410256410258</v>
      </c>
      <c r="BG52" s="15" t="str">
        <f t="shared" si="14"/>
        <v>C</v>
      </c>
      <c r="BH52" s="15" t="str">
        <f t="shared" si="15"/>
        <v>PASS</v>
      </c>
    </row>
    <row r="53" spans="1:60" x14ac:dyDescent="0.2">
      <c r="E53" s="17"/>
      <c r="V53" s="18"/>
      <c r="W53" s="18"/>
      <c r="X53" s="18"/>
      <c r="Y53" s="18"/>
      <c r="Z53" s="18"/>
      <c r="AA53" s="20"/>
      <c r="AB53" s="21"/>
      <c r="AC53" s="19"/>
    </row>
  </sheetData>
  <mergeCells count="30">
    <mergeCell ref="BF12:BH12"/>
    <mergeCell ref="H6:P6"/>
    <mergeCell ref="E12:L12"/>
    <mergeCell ref="V12:AC12"/>
    <mergeCell ref="AY12:AZ12"/>
    <mergeCell ref="H7:P7"/>
    <mergeCell ref="BA12:BC12"/>
    <mergeCell ref="AD12:AJ12"/>
    <mergeCell ref="A8:F8"/>
    <mergeCell ref="D12:D14"/>
    <mergeCell ref="B12:B14"/>
    <mergeCell ref="AR12:AX12"/>
    <mergeCell ref="M12:M52"/>
    <mergeCell ref="U12:U52"/>
    <mergeCell ref="A1:BH1"/>
    <mergeCell ref="A10:F10"/>
    <mergeCell ref="BD12:BE12"/>
    <mergeCell ref="A9:F9"/>
    <mergeCell ref="H8:P8"/>
    <mergeCell ref="AK12:AQ12"/>
    <mergeCell ref="N12:T12"/>
    <mergeCell ref="A3:BH3"/>
    <mergeCell ref="H10:P10"/>
    <mergeCell ref="A2:BH2"/>
    <mergeCell ref="A6:F6"/>
    <mergeCell ref="H9:P9"/>
    <mergeCell ref="A5:BH5"/>
    <mergeCell ref="A7:F7"/>
    <mergeCell ref="A12:A14"/>
    <mergeCell ref="C12:C14"/>
  </mergeCells>
  <conditionalFormatting sqref="E15:L52 N15:T52 E53">
    <cfRule type="cellIs" dxfId="44" priority="1" operator="equal">
      <formula>"P"</formula>
    </cfRule>
    <cfRule type="cellIs" dxfId="43" priority="2" operator="equal">
      <formula>"A"</formula>
    </cfRule>
    <cfRule type="cellIs" dxfId="42" priority="3" operator="equal">
      <formula>"E"</formula>
    </cfRule>
    <cfRule type="cellIs" dxfId="41" priority="4" operator="equal">
      <formula>"NC"</formula>
    </cfRule>
  </conditionalFormatting>
  <conditionalFormatting sqref="W15:W53">
    <cfRule type="cellIs" dxfId="40" priority="5" operator="greaterThan">
      <formula>4</formula>
    </cfRule>
    <cfRule type="cellIs" dxfId="39" priority="6" operator="equal">
      <formula>4</formula>
    </cfRule>
    <cfRule type="cellIs" dxfId="38" priority="7" operator="equal">
      <formula>3</formula>
    </cfRule>
  </conditionalFormatting>
  <conditionalFormatting sqref="AC15:AC53">
    <cfRule type="cellIs" dxfId="37" priority="8" operator="equal">
      <formula>"EXCEEDED ABSENCE LIMIT"</formula>
    </cfRule>
    <cfRule type="cellIs" dxfId="36" priority="9" operator="equal">
      <formula>"MAXIMUM ABSENCES REACHED"</formula>
    </cfRule>
    <cfRule type="cellIs" dxfId="35" priority="10" operator="equal">
      <formula>"WARNING: 3 absences"</formula>
    </cfRule>
  </conditionalFormatting>
  <conditionalFormatting sqref="BF15:BF52">
    <cfRule type="expression" dxfId="34" priority="14">
      <formula>AND(BF15&gt;=50,BH15&lt;&gt;"IN PROGRESS")</formula>
    </cfRule>
    <cfRule type="expression" dxfId="33" priority="15">
      <formula>AND(BF15&lt;50,BH15&lt;&gt;"IN PROGRESS")</formula>
    </cfRule>
  </conditionalFormatting>
  <conditionalFormatting sqref="BH15:BH52">
    <cfRule type="cellIs" dxfId="32" priority="11" operator="equal">
      <formula>"PASS"</formula>
    </cfRule>
    <cfRule type="cellIs" dxfId="31" priority="12" operator="equal">
      <formula>"NOT PASS"</formula>
    </cfRule>
    <cfRule type="cellIs" dxfId="30" priority="13" operator="equal">
      <formula>"IN PROGRESS"</formula>
    </cfRule>
  </conditionalFormatting>
  <dataValidations count="2">
    <dataValidation type="list" allowBlank="1" errorTitle="Invalid attendance code" error="Enter P, A, E, or NC only." sqref="E15:T52" xr:uid="{00000000-0002-0000-0100-000000000000}">
      <formula1>"P,A,E,NC"</formula1>
    </dataValidation>
    <dataValidation type="decimal" allowBlank="1" errorTitle="Invalid score" error="Score must be between 0 and 100." sqref="AK15:AO52 BD15:BD52 BB15:BB52 AY15:AY52 AR15:AV52 AD15:AH52" xr:uid="{00000000-0002-0000-0100-000001000000}">
      <formula1>0</formula1>
      <formula2>100</formula2>
    </dataValidation>
  </dataValidations>
  <pageMargins left="0.3" right="0.3" top="0.4" bottom="0.4" header="0.5" footer="0.5"/>
  <pageSetup fitToHeight="0" orientation="landscape"/>
  <headerFooter>
    <oddHeader>&amp;CEnglish for MICE Industries (Tourism Business Management) — Semester Gradebook</oddHeader>
    <oddFooter>&amp;CMICE TBM Group 1 &amp; 2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I50"/>
  <sheetViews>
    <sheetView showGridLines="0" tabSelected="1" workbookViewId="0">
      <pane xSplit="4" ySplit="14" topLeftCell="F15" activePane="bottomRight" state="frozen"/>
      <selection pane="topRight"/>
      <selection pane="bottomLeft"/>
      <selection pane="bottomRight" activeCell="T23" sqref="T23"/>
    </sheetView>
  </sheetViews>
  <sheetFormatPr baseColWidth="10" defaultColWidth="8.83203125" defaultRowHeight="15" x14ac:dyDescent="0.2"/>
  <cols>
    <col min="1" max="1" width="4.5" customWidth="1"/>
    <col min="2" max="2" width="13" customWidth="1"/>
    <col min="3" max="3" width="26" customWidth="1"/>
    <col min="4" max="4" width="9" customWidth="1"/>
    <col min="5" max="12" width="6.1640625" customWidth="1"/>
    <col min="13" max="13" width="4.5" customWidth="1"/>
    <col min="14" max="20" width="6.1640625" customWidth="1"/>
    <col min="21" max="21" width="4.5" customWidth="1"/>
    <col min="22" max="28" width="9.5" customWidth="1"/>
    <col min="29" max="29" width="20.83203125" customWidth="1"/>
    <col min="30" max="34" width="7.5" customWidth="1"/>
    <col min="35" max="35" width="8" customWidth="1"/>
    <col min="36" max="36" width="8.5" customWidth="1"/>
    <col min="37" max="42" width="7.5" customWidth="1"/>
    <col min="43" max="43" width="8" customWidth="1"/>
    <col min="44" max="44" width="8.5" customWidth="1"/>
    <col min="45" max="49" width="7.5" customWidth="1"/>
    <col min="50" max="50" width="8" customWidth="1"/>
    <col min="51" max="51" width="8.5" customWidth="1"/>
    <col min="52" max="52" width="8" customWidth="1"/>
    <col min="53" max="54" width="8.5" customWidth="1"/>
    <col min="55" max="55" width="8" customWidth="1"/>
    <col min="56" max="56" width="8.5" customWidth="1"/>
    <col min="57" max="57" width="8" customWidth="1"/>
    <col min="58" max="58" width="8.5" customWidth="1"/>
    <col min="59" max="61" width="11" customWidth="1"/>
  </cols>
  <sheetData>
    <row r="1" spans="1:61" ht="2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x14ac:dyDescent="0.2">
      <c r="A2" s="39" t="s">
        <v>232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</row>
    <row r="3" spans="1:61" x14ac:dyDescent="0.2">
      <c r="A3" s="38" t="s">
        <v>233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5" spans="1:61" x14ac:dyDescent="0.2">
      <c r="A5" s="40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</row>
    <row r="6" spans="1:61" x14ac:dyDescent="0.2">
      <c r="A6" s="34" t="str">
        <f>"Number of Students:  "&amp;COUNTA(B15:B50)</f>
        <v>Number of Students:  36</v>
      </c>
      <c r="B6" s="31"/>
      <c r="C6" s="31"/>
      <c r="D6" s="31"/>
      <c r="E6" s="31"/>
      <c r="F6" s="31"/>
      <c r="H6" s="34" t="str">
        <f>"Students Passing:  "&amp;COUNTIF(BI15:BI50,"PASS")</f>
        <v>Students Passing:  32</v>
      </c>
      <c r="I6" s="31"/>
      <c r="J6" s="31"/>
      <c r="K6" s="31"/>
      <c r="L6" s="31"/>
      <c r="M6" s="31"/>
      <c r="N6" s="31"/>
      <c r="O6" s="31"/>
      <c r="P6" s="31"/>
    </row>
    <row r="7" spans="1:61" x14ac:dyDescent="0.2">
      <c r="A7" s="34" t="str">
        <f>"Scheduled Class Meetings:  "&amp;15</f>
        <v>Scheduled Class Meetings:  15</v>
      </c>
      <c r="B7" s="31"/>
      <c r="C7" s="31"/>
      <c r="D7" s="31"/>
      <c r="E7" s="31"/>
      <c r="F7" s="31"/>
      <c r="H7" s="34" t="str">
        <f>"Students Not Passing:  "&amp;COUNTIF(BI15:BI50,"NOT PASS")</f>
        <v>Students Not Passing:  4</v>
      </c>
      <c r="I7" s="31"/>
      <c r="J7" s="31"/>
      <c r="K7" s="31"/>
      <c r="L7" s="31"/>
      <c r="M7" s="31"/>
      <c r="N7" s="31"/>
      <c r="O7" s="31"/>
      <c r="P7" s="31"/>
    </row>
    <row r="8" spans="1:61" x14ac:dyDescent="0.2">
      <c r="A8" s="34" t="str">
        <f>"Average Attendance:  "&amp;TEXT(IFERROR(AVERAGE(AA15:AA50),0),"0.0%")</f>
        <v>Average Attendance:  52.1%</v>
      </c>
      <c r="B8" s="31"/>
      <c r="C8" s="31"/>
      <c r="D8" s="31"/>
      <c r="E8" s="31"/>
      <c r="F8" s="31"/>
      <c r="H8" s="34" t="str">
        <f>"Students At/Over 4-Absence Limit:  "&amp;COUNTIF(W15:W50,"&gt;=4")</f>
        <v>Students At/Over 4-Absence Limit:  3</v>
      </c>
      <c r="I8" s="31"/>
      <c r="J8" s="31"/>
      <c r="K8" s="31"/>
      <c r="L8" s="31"/>
      <c r="M8" s="31"/>
      <c r="N8" s="31"/>
      <c r="O8" s="31"/>
      <c r="P8" s="31"/>
    </row>
    <row r="9" spans="1:61" x14ac:dyDescent="0.2">
      <c r="A9" s="34" t="str">
        <f>"Average Speaking Score:  "&amp;TEXT(IFERROR(AVERAGE(AQ15:AQ50),0),"0.0")</f>
        <v>Average Speaking Score:  80.6</v>
      </c>
      <c r="B9" s="31"/>
      <c r="C9" s="31"/>
      <c r="D9" s="31"/>
      <c r="E9" s="31"/>
      <c r="F9" s="31"/>
      <c r="H9" s="34" t="str">
        <f>"Students In Progress (ungraded):  "&amp;COUNTIF(BI15:BI50,"IN PROGRESS")</f>
        <v>Students In Progress (ungraded):  0</v>
      </c>
      <c r="I9" s="31"/>
      <c r="J9" s="31"/>
      <c r="K9" s="31"/>
      <c r="L9" s="31"/>
      <c r="M9" s="31"/>
      <c r="N9" s="31"/>
      <c r="O9" s="31"/>
      <c r="P9" s="31"/>
    </row>
    <row r="10" spans="1:61" x14ac:dyDescent="0.2">
      <c r="A10" s="34" t="str">
        <f>"Average Final Grade:  "&amp;TEXT(IFERROR(AVERAGE(BG15:BG50),0),"0.00")</f>
        <v>Average Final Grade:  58.27</v>
      </c>
      <c r="B10" s="31"/>
      <c r="C10" s="31"/>
      <c r="D10" s="31"/>
      <c r="E10" s="31"/>
      <c r="F10" s="31"/>
      <c r="H10" s="34" t="str">
        <f>"Passing Grade Threshold:  "&amp;50</f>
        <v>Passing Grade Threshold:  50</v>
      </c>
      <c r="I10" s="31"/>
      <c r="J10" s="31"/>
      <c r="K10" s="31"/>
      <c r="L10" s="31"/>
      <c r="M10" s="31"/>
      <c r="N10" s="31"/>
      <c r="O10" s="31"/>
      <c r="P10" s="31"/>
    </row>
    <row r="12" spans="1:61" ht="34" customHeight="1" x14ac:dyDescent="0.2">
      <c r="A12" s="36" t="s">
        <v>4</v>
      </c>
      <c r="B12" s="36" t="s">
        <v>5</v>
      </c>
      <c r="C12" s="36" t="s">
        <v>6</v>
      </c>
      <c r="D12" s="36" t="s">
        <v>365</v>
      </c>
      <c r="E12" s="35" t="s">
        <v>7</v>
      </c>
      <c r="F12" s="31"/>
      <c r="G12" s="31"/>
      <c r="H12" s="31"/>
      <c r="I12" s="31"/>
      <c r="J12" s="31"/>
      <c r="K12" s="31"/>
      <c r="L12" s="31"/>
      <c r="M12" s="32" t="s">
        <v>8</v>
      </c>
      <c r="N12" s="35" t="s">
        <v>9</v>
      </c>
      <c r="O12" s="31"/>
      <c r="P12" s="31"/>
      <c r="Q12" s="31"/>
      <c r="R12" s="31"/>
      <c r="S12" s="31"/>
      <c r="T12" s="31"/>
      <c r="U12" s="32" t="s">
        <v>10</v>
      </c>
      <c r="V12" s="42" t="s">
        <v>11</v>
      </c>
      <c r="W12" s="31"/>
      <c r="X12" s="31"/>
      <c r="Y12" s="31"/>
      <c r="Z12" s="31"/>
      <c r="AA12" s="31"/>
      <c r="AB12" s="31"/>
      <c r="AC12" s="31"/>
      <c r="AD12" s="35" t="s">
        <v>125</v>
      </c>
      <c r="AE12" s="31"/>
      <c r="AF12" s="31"/>
      <c r="AG12" s="31"/>
      <c r="AH12" s="31"/>
      <c r="AI12" s="31"/>
      <c r="AJ12" s="31"/>
      <c r="AK12" s="35" t="s">
        <v>234</v>
      </c>
      <c r="AL12" s="31"/>
      <c r="AM12" s="31"/>
      <c r="AN12" s="31"/>
      <c r="AO12" s="31"/>
      <c r="AP12" s="31"/>
      <c r="AQ12" s="31"/>
      <c r="AR12" s="31"/>
      <c r="AS12" s="35" t="s">
        <v>235</v>
      </c>
      <c r="AT12" s="31"/>
      <c r="AU12" s="31"/>
      <c r="AV12" s="31"/>
      <c r="AW12" s="31"/>
      <c r="AX12" s="31"/>
      <c r="AY12" s="31"/>
      <c r="AZ12" s="35" t="s">
        <v>13</v>
      </c>
      <c r="BA12" s="31"/>
      <c r="BB12" s="35" t="s">
        <v>236</v>
      </c>
      <c r="BC12" s="35"/>
      <c r="BD12" s="35"/>
      <c r="BE12" s="35" t="s">
        <v>129</v>
      </c>
      <c r="BF12" s="31"/>
      <c r="BG12" s="41" t="s">
        <v>17</v>
      </c>
      <c r="BH12" s="31"/>
      <c r="BI12" s="31"/>
    </row>
    <row r="13" spans="1:61" x14ac:dyDescent="0.2">
      <c r="A13" s="37"/>
      <c r="B13" s="37"/>
      <c r="C13" s="37"/>
      <c r="D13" s="37"/>
      <c r="E13" s="23" t="s">
        <v>514</v>
      </c>
      <c r="F13" s="23" t="s">
        <v>480</v>
      </c>
      <c r="G13" s="23" t="s">
        <v>479</v>
      </c>
      <c r="H13" s="23" t="s">
        <v>482</v>
      </c>
      <c r="I13" s="23" t="s">
        <v>488</v>
      </c>
      <c r="J13" s="23" t="s">
        <v>482</v>
      </c>
      <c r="K13" s="23" t="s">
        <v>499</v>
      </c>
      <c r="L13" s="23" t="s">
        <v>489</v>
      </c>
      <c r="M13" s="32"/>
      <c r="N13" s="26" t="s">
        <v>466</v>
      </c>
      <c r="O13" s="27" t="s">
        <v>363</v>
      </c>
      <c r="P13" s="27" t="s">
        <v>470</v>
      </c>
      <c r="Q13" s="27"/>
      <c r="R13" s="27"/>
      <c r="S13" s="27"/>
      <c r="T13" s="27" t="s">
        <v>468</v>
      </c>
      <c r="U13" s="32"/>
      <c r="V13" s="25"/>
      <c r="AD13" s="23" t="s">
        <v>480</v>
      </c>
      <c r="AE13" s="23"/>
      <c r="AF13" s="23" t="s">
        <v>510</v>
      </c>
      <c r="AG13" s="23" t="s">
        <v>489</v>
      </c>
      <c r="AH13" s="23"/>
      <c r="AI13" s="23"/>
      <c r="AJ13" s="23"/>
      <c r="AK13" s="23" t="s">
        <v>480</v>
      </c>
      <c r="AL13" s="23" t="s">
        <v>479</v>
      </c>
      <c r="AM13" s="23" t="s">
        <v>509</v>
      </c>
      <c r="AN13" s="23"/>
      <c r="AO13" s="23"/>
      <c r="AP13" s="23" t="s">
        <v>518</v>
      </c>
      <c r="AS13" s="23" t="s">
        <v>480</v>
      </c>
      <c r="AT13" s="23" t="s">
        <v>479</v>
      </c>
      <c r="AU13" s="23" t="s">
        <v>510</v>
      </c>
      <c r="AV13" s="23" t="s">
        <v>470</v>
      </c>
      <c r="AW13" s="23"/>
      <c r="AX13" s="23"/>
      <c r="AY13" s="23"/>
      <c r="AZ13" s="25"/>
      <c r="BC13" s="25"/>
      <c r="BE13" s="25"/>
      <c r="BG13" s="25"/>
    </row>
    <row r="14" spans="1:61" ht="30" customHeight="1" x14ac:dyDescent="0.2">
      <c r="A14" s="31"/>
      <c r="B14" s="31"/>
      <c r="C14" s="31"/>
      <c r="D14" s="31"/>
      <c r="E14" s="1" t="s">
        <v>237</v>
      </c>
      <c r="F14" s="1" t="s">
        <v>238</v>
      </c>
      <c r="G14" s="1" t="s">
        <v>239</v>
      </c>
      <c r="H14" s="1" t="s">
        <v>240</v>
      </c>
      <c r="I14" s="1" t="s">
        <v>241</v>
      </c>
      <c r="J14" s="1" t="s">
        <v>242</v>
      </c>
      <c r="K14" s="1" t="s">
        <v>243</v>
      </c>
      <c r="L14" s="1" t="s">
        <v>244</v>
      </c>
      <c r="M14" s="31"/>
      <c r="N14" s="1" t="s">
        <v>245</v>
      </c>
      <c r="O14" s="1" t="s">
        <v>246</v>
      </c>
      <c r="P14" s="1" t="s">
        <v>247</v>
      </c>
      <c r="Q14" s="1" t="s">
        <v>248</v>
      </c>
      <c r="R14" s="1" t="s">
        <v>249</v>
      </c>
      <c r="S14" s="1" t="s">
        <v>250</v>
      </c>
      <c r="T14" s="1" t="s">
        <v>251</v>
      </c>
      <c r="U14" s="31"/>
      <c r="V14" s="2" t="s">
        <v>33</v>
      </c>
      <c r="W14" s="2" t="s">
        <v>34</v>
      </c>
      <c r="X14" s="2" t="s">
        <v>35</v>
      </c>
      <c r="Y14" s="2" t="s">
        <v>36</v>
      </c>
      <c r="Z14" s="2" t="s">
        <v>37</v>
      </c>
      <c r="AA14" s="2" t="s">
        <v>38</v>
      </c>
      <c r="AB14" s="2" t="s">
        <v>39</v>
      </c>
      <c r="AC14" s="2" t="s">
        <v>40</v>
      </c>
      <c r="AD14" s="3" t="s">
        <v>145</v>
      </c>
      <c r="AE14" s="3" t="s">
        <v>146</v>
      </c>
      <c r="AF14" s="3" t="s">
        <v>147</v>
      </c>
      <c r="AG14" s="3" t="s">
        <v>148</v>
      </c>
      <c r="AH14" s="3" t="s">
        <v>149</v>
      </c>
      <c r="AI14" s="4" t="s">
        <v>150</v>
      </c>
      <c r="AJ14" s="4" t="s">
        <v>44</v>
      </c>
      <c r="AK14" s="3" t="s">
        <v>151</v>
      </c>
      <c r="AL14" s="3" t="s">
        <v>152</v>
      </c>
      <c r="AM14" s="3" t="s">
        <v>153</v>
      </c>
      <c r="AN14" s="3" t="s">
        <v>154</v>
      </c>
      <c r="AO14" s="3" t="s">
        <v>155</v>
      </c>
      <c r="AP14" s="3" t="s">
        <v>252</v>
      </c>
      <c r="AQ14" s="4" t="s">
        <v>150</v>
      </c>
      <c r="AR14" s="4" t="s">
        <v>156</v>
      </c>
      <c r="AS14" s="3" t="s">
        <v>151</v>
      </c>
      <c r="AT14" s="3" t="s">
        <v>152</v>
      </c>
      <c r="AU14" s="3" t="s">
        <v>153</v>
      </c>
      <c r="AV14" s="3" t="s">
        <v>154</v>
      </c>
      <c r="AW14" s="3" t="s">
        <v>155</v>
      </c>
      <c r="AX14" s="4" t="s">
        <v>150</v>
      </c>
      <c r="AY14" s="4" t="s">
        <v>42</v>
      </c>
      <c r="AZ14" s="3" t="s">
        <v>469</v>
      </c>
      <c r="BA14" s="4" t="s">
        <v>43</v>
      </c>
      <c r="BB14" s="4" t="s">
        <v>512</v>
      </c>
      <c r="BC14" s="3" t="s">
        <v>41</v>
      </c>
      <c r="BD14" s="4" t="s">
        <v>42</v>
      </c>
      <c r="BE14" s="3" t="s">
        <v>41</v>
      </c>
      <c r="BF14" s="4" t="s">
        <v>42</v>
      </c>
      <c r="BG14" s="5" t="s">
        <v>46</v>
      </c>
      <c r="BH14" s="5" t="s">
        <v>47</v>
      </c>
      <c r="BI14" s="5" t="s">
        <v>48</v>
      </c>
    </row>
    <row r="15" spans="1:61" ht="16" customHeight="1" x14ac:dyDescent="0.2">
      <c r="A15" s="6">
        <v>1</v>
      </c>
      <c r="B15" s="6" t="s">
        <v>253</v>
      </c>
      <c r="C15" s="7" t="s">
        <v>254</v>
      </c>
      <c r="D15" s="6" t="s">
        <v>441</v>
      </c>
      <c r="E15" s="8" t="s">
        <v>362</v>
      </c>
      <c r="F15" s="8" t="s">
        <v>364</v>
      </c>
      <c r="G15" s="8" t="s">
        <v>362</v>
      </c>
      <c r="H15" s="8" t="s">
        <v>467</v>
      </c>
      <c r="I15" s="8" t="s">
        <v>467</v>
      </c>
      <c r="J15" s="8" t="s">
        <v>467</v>
      </c>
      <c r="K15" s="8" t="s">
        <v>362</v>
      </c>
      <c r="L15" s="8" t="s">
        <v>362</v>
      </c>
      <c r="M15" s="33"/>
      <c r="N15" s="8" t="s">
        <v>362</v>
      </c>
      <c r="O15" s="8" t="s">
        <v>364</v>
      </c>
      <c r="P15" s="8" t="s">
        <v>364</v>
      </c>
      <c r="Q15" s="8"/>
      <c r="R15" s="8"/>
      <c r="S15" s="8"/>
      <c r="T15" s="8"/>
      <c r="U15" s="33"/>
      <c r="V15" s="9">
        <f t="shared" ref="V15:V50" si="0">COUNTIF(E15:L15,"P")+COUNTIF(N15:T15,"P")</f>
        <v>5</v>
      </c>
      <c r="W15" s="9">
        <f t="shared" ref="W15:W50" si="1">COUNTIF(E15:L15,"A")+COUNTIF(N15:T15,"A")</f>
        <v>3</v>
      </c>
      <c r="X15" s="9">
        <f t="shared" ref="X15:X50" si="2">COUNTIF(E15:L15,"E")+COUNTIF(N15:T15,"E")</f>
        <v>0</v>
      </c>
      <c r="Y15" s="9">
        <f t="shared" ref="Y15:Y50" si="3">COUNTIF(E15:L15,"NC")+COUNTIF(N15:T15,"NC")</f>
        <v>3</v>
      </c>
      <c r="Z15" s="9">
        <f t="shared" ref="Z15:Z50" si="4">15-Y15</f>
        <v>12</v>
      </c>
      <c r="AA15" s="10">
        <f t="shared" ref="AA15:AA50" si="5">IF(Z15=0,"",(V15+X15)/Z15)</f>
        <v>0.41666666666666669</v>
      </c>
      <c r="AB15" s="11">
        <f t="shared" ref="AB15:AB50" si="6">IF(AA15="","",AA15*10)</f>
        <v>4.166666666666667</v>
      </c>
      <c r="AC15" s="12" t="str">
        <f t="shared" ref="AC15:AC50" si="7">IF(W15&gt;4,"EXCEEDED ABSENCE LIMIT",IF(W15=4,"MAXIMUM ABSENCES REACHED",IF(W15=3,"WARNING: 3 absences","OK")))</f>
        <v>WARNING: 3 absences</v>
      </c>
      <c r="AD15" s="8">
        <v>100</v>
      </c>
      <c r="AE15" s="8"/>
      <c r="AF15" s="8">
        <v>0</v>
      </c>
      <c r="AG15" s="8">
        <v>95</v>
      </c>
      <c r="AH15" s="8"/>
      <c r="AI15" s="16">
        <f t="shared" ref="AI15:AI50" si="8">IFERROR(AVERAGE(AD15:AH15),"")</f>
        <v>65</v>
      </c>
      <c r="AJ15" s="13">
        <f t="shared" ref="AJ15:AJ50" si="9">IF(AI15="","",AI15/100*15)</f>
        <v>9.75</v>
      </c>
      <c r="AK15" s="8">
        <v>100</v>
      </c>
      <c r="AL15" s="8">
        <v>0</v>
      </c>
      <c r="AM15" s="8">
        <v>100</v>
      </c>
      <c r="AN15" s="8"/>
      <c r="AO15" s="8"/>
      <c r="AP15" s="8"/>
      <c r="AQ15" s="16">
        <f t="shared" ref="AQ15:AQ50" si="10">IFERROR(AVERAGE(AK15:AP15),"")</f>
        <v>66.666666666666671</v>
      </c>
      <c r="AR15" s="13">
        <f t="shared" ref="AR15:AR50" si="11">IF(AQ15="","",AQ15/100*25)</f>
        <v>16.666666666666668</v>
      </c>
      <c r="AS15" s="8">
        <v>100</v>
      </c>
      <c r="AT15" s="8">
        <v>100</v>
      </c>
      <c r="AU15" s="8">
        <v>0</v>
      </c>
      <c r="AV15" s="8">
        <v>0</v>
      </c>
      <c r="AW15" s="8"/>
      <c r="AX15" s="16">
        <f t="shared" ref="AX15:AX50" si="12">IFERROR(AVERAGE(AS15:AW15),"")</f>
        <v>50</v>
      </c>
      <c r="AY15" s="13">
        <f t="shared" ref="AY15:AY50" si="13">IF(AX15="","",AX15/100*10)</f>
        <v>5</v>
      </c>
      <c r="AZ15" s="8">
        <v>40</v>
      </c>
      <c r="BA15" s="13">
        <f>IF(AZ15="","",AZ15/50*20)</f>
        <v>16</v>
      </c>
      <c r="BB15" s="13">
        <v>6</v>
      </c>
      <c r="BC15" s="8"/>
      <c r="BD15" s="13" t="str">
        <f t="shared" ref="BD15:BD50" si="14">IF(BC15="","",BC15/100*10)</f>
        <v/>
      </c>
      <c r="BE15" s="8"/>
      <c r="BF15" s="13" t="str">
        <f t="shared" ref="BF15:BF50" si="15">IF(BE15="","",BE15/100*10)</f>
        <v/>
      </c>
      <c r="BG15" s="14">
        <f t="shared" ref="BG15:BG50" si="16">SUM(AB15,AJ15,AR15,AY15,BA15,BD15,BF15)</f>
        <v>51.583333333333336</v>
      </c>
      <c r="BH15" s="15" t="str">
        <f t="shared" ref="BH15:BH50" si="17">IF(BG15=0,"—",IF(BG15&gt;=80,"A",IF(BG15&gt;=75,"B+",IF(BG15&gt;=70,"B",IF(BG15&gt;=65,"C+",IF(BG15&gt;=60,"C",IF(BG15&gt;=55,"D+",IF(BG15&gt;=50,"D","E/F"))))))))</f>
        <v>D</v>
      </c>
      <c r="BI15" s="15" t="str">
        <f t="shared" ref="BI15:BI50" si="18">IF(BG15=0,"IN PROGRESS",IF(BG15&gt;=50,"PASS","NOT PASS"))</f>
        <v>PASS</v>
      </c>
    </row>
    <row r="16" spans="1:61" ht="16" customHeight="1" x14ac:dyDescent="0.2">
      <c r="A16" s="6">
        <v>2</v>
      </c>
      <c r="B16" s="6" t="s">
        <v>255</v>
      </c>
      <c r="C16" s="7" t="s">
        <v>256</v>
      </c>
      <c r="D16" s="6" t="s">
        <v>442</v>
      </c>
      <c r="E16" s="8" t="s">
        <v>362</v>
      </c>
      <c r="F16" s="8" t="s">
        <v>362</v>
      </c>
      <c r="G16" s="8" t="s">
        <v>362</v>
      </c>
      <c r="H16" s="8" t="s">
        <v>467</v>
      </c>
      <c r="I16" s="8" t="s">
        <v>467</v>
      </c>
      <c r="J16" s="8" t="s">
        <v>467</v>
      </c>
      <c r="K16" s="8" t="s">
        <v>364</v>
      </c>
      <c r="L16" s="8" t="s">
        <v>364</v>
      </c>
      <c r="M16" s="33"/>
      <c r="N16" s="8" t="s">
        <v>362</v>
      </c>
      <c r="O16" s="8" t="s">
        <v>362</v>
      </c>
      <c r="P16" s="8" t="s">
        <v>364</v>
      </c>
      <c r="Q16" s="8"/>
      <c r="R16" s="8"/>
      <c r="S16" s="8"/>
      <c r="T16" s="8"/>
      <c r="U16" s="33"/>
      <c r="V16" s="9">
        <f t="shared" si="0"/>
        <v>5</v>
      </c>
      <c r="W16" s="9">
        <f t="shared" si="1"/>
        <v>3</v>
      </c>
      <c r="X16" s="9">
        <f t="shared" si="2"/>
        <v>0</v>
      </c>
      <c r="Y16" s="9">
        <f t="shared" si="3"/>
        <v>3</v>
      </c>
      <c r="Z16" s="9">
        <f t="shared" si="4"/>
        <v>12</v>
      </c>
      <c r="AA16" s="10">
        <f t="shared" si="5"/>
        <v>0.41666666666666669</v>
      </c>
      <c r="AB16" s="11">
        <f t="shared" si="6"/>
        <v>4.166666666666667</v>
      </c>
      <c r="AC16" s="12" t="str">
        <f t="shared" si="7"/>
        <v>WARNING: 3 absences</v>
      </c>
      <c r="AD16" s="8">
        <v>100</v>
      </c>
      <c r="AE16" s="8"/>
      <c r="AF16" s="8">
        <v>0</v>
      </c>
      <c r="AG16" s="8">
        <v>0</v>
      </c>
      <c r="AH16" s="8"/>
      <c r="AI16" s="16">
        <f t="shared" si="8"/>
        <v>33.333333333333336</v>
      </c>
      <c r="AJ16" s="13">
        <f t="shared" si="9"/>
        <v>5.0000000000000009</v>
      </c>
      <c r="AK16" s="8">
        <v>100</v>
      </c>
      <c r="AL16" s="8">
        <v>100</v>
      </c>
      <c r="AM16" s="8">
        <v>0</v>
      </c>
      <c r="AN16" s="8"/>
      <c r="AO16" s="8"/>
      <c r="AP16" s="8"/>
      <c r="AQ16" s="16">
        <f t="shared" si="10"/>
        <v>66.666666666666671</v>
      </c>
      <c r="AR16" s="13">
        <f t="shared" si="11"/>
        <v>16.666666666666668</v>
      </c>
      <c r="AS16" s="8">
        <v>100</v>
      </c>
      <c r="AT16" s="8">
        <v>100</v>
      </c>
      <c r="AU16" s="8">
        <v>0</v>
      </c>
      <c r="AV16" s="8">
        <v>0</v>
      </c>
      <c r="AW16" s="8"/>
      <c r="AX16" s="16">
        <f t="shared" si="12"/>
        <v>50</v>
      </c>
      <c r="AY16" s="13">
        <f t="shared" si="13"/>
        <v>5</v>
      </c>
      <c r="AZ16" s="8">
        <v>50</v>
      </c>
      <c r="BA16" s="13">
        <f t="shared" ref="BA16:BA50" si="19">IF(AZ16="","",AZ16/50*20)</f>
        <v>20</v>
      </c>
      <c r="BB16" s="13">
        <v>6</v>
      </c>
      <c r="BC16" s="8"/>
      <c r="BD16" s="13" t="str">
        <f t="shared" si="14"/>
        <v/>
      </c>
      <c r="BE16" s="8"/>
      <c r="BF16" s="13" t="str">
        <f t="shared" si="15"/>
        <v/>
      </c>
      <c r="BG16" s="14">
        <f t="shared" si="16"/>
        <v>50.833333333333336</v>
      </c>
      <c r="BH16" s="15" t="str">
        <f t="shared" si="17"/>
        <v>D</v>
      </c>
      <c r="BI16" s="15" t="str">
        <f t="shared" si="18"/>
        <v>PASS</v>
      </c>
    </row>
    <row r="17" spans="1:61" ht="16" customHeight="1" x14ac:dyDescent="0.2">
      <c r="A17" s="6">
        <v>3</v>
      </c>
      <c r="B17" s="6" t="s">
        <v>257</v>
      </c>
      <c r="C17" s="7" t="s">
        <v>258</v>
      </c>
      <c r="D17" s="6" t="s">
        <v>500</v>
      </c>
      <c r="E17" s="8" t="s">
        <v>362</v>
      </c>
      <c r="F17" s="8" t="s">
        <v>362</v>
      </c>
      <c r="G17" s="8" t="s">
        <v>362</v>
      </c>
      <c r="H17" s="8" t="s">
        <v>467</v>
      </c>
      <c r="I17" s="8" t="s">
        <v>467</v>
      </c>
      <c r="J17" s="8" t="s">
        <v>467</v>
      </c>
      <c r="K17" s="8" t="s">
        <v>362</v>
      </c>
      <c r="L17" s="8" t="s">
        <v>362</v>
      </c>
      <c r="M17" s="33"/>
      <c r="N17" s="8" t="s">
        <v>362</v>
      </c>
      <c r="O17" s="8" t="s">
        <v>362</v>
      </c>
      <c r="P17" s="8" t="s">
        <v>364</v>
      </c>
      <c r="Q17" s="8"/>
      <c r="R17" s="8"/>
      <c r="S17" s="8"/>
      <c r="T17" s="8"/>
      <c r="U17" s="33"/>
      <c r="V17" s="9">
        <f t="shared" si="0"/>
        <v>7</v>
      </c>
      <c r="W17" s="9">
        <f t="shared" si="1"/>
        <v>1</v>
      </c>
      <c r="X17" s="9">
        <f t="shared" si="2"/>
        <v>0</v>
      </c>
      <c r="Y17" s="9">
        <f t="shared" si="3"/>
        <v>3</v>
      </c>
      <c r="Z17" s="9">
        <f t="shared" si="4"/>
        <v>12</v>
      </c>
      <c r="AA17" s="10">
        <f t="shared" si="5"/>
        <v>0.58333333333333337</v>
      </c>
      <c r="AB17" s="11">
        <f t="shared" si="6"/>
        <v>5.8333333333333339</v>
      </c>
      <c r="AC17" s="12" t="str">
        <f t="shared" si="7"/>
        <v>OK</v>
      </c>
      <c r="AD17" s="8">
        <v>100</v>
      </c>
      <c r="AE17" s="8"/>
      <c r="AF17" s="8">
        <v>98</v>
      </c>
      <c r="AG17" s="8">
        <v>95</v>
      </c>
      <c r="AH17" s="8"/>
      <c r="AI17" s="16">
        <f t="shared" si="8"/>
        <v>97.666666666666671</v>
      </c>
      <c r="AJ17" s="13">
        <f t="shared" si="9"/>
        <v>14.65</v>
      </c>
      <c r="AK17" s="8">
        <v>100</v>
      </c>
      <c r="AL17" s="8">
        <v>100</v>
      </c>
      <c r="AM17" s="8">
        <v>100</v>
      </c>
      <c r="AN17" s="8"/>
      <c r="AO17" s="8"/>
      <c r="AP17" s="8"/>
      <c r="AQ17" s="16">
        <f t="shared" si="10"/>
        <v>100</v>
      </c>
      <c r="AR17" s="13">
        <f t="shared" si="11"/>
        <v>25</v>
      </c>
      <c r="AS17" s="8">
        <v>100</v>
      </c>
      <c r="AT17" s="8">
        <v>100</v>
      </c>
      <c r="AU17" s="8">
        <v>98</v>
      </c>
      <c r="AV17" s="8">
        <v>0</v>
      </c>
      <c r="AW17" s="8"/>
      <c r="AX17" s="16">
        <f t="shared" si="12"/>
        <v>74.5</v>
      </c>
      <c r="AY17" s="13">
        <f t="shared" si="13"/>
        <v>7.45</v>
      </c>
      <c r="AZ17" s="8">
        <v>41</v>
      </c>
      <c r="BA17" s="13">
        <f t="shared" si="19"/>
        <v>16.399999999999999</v>
      </c>
      <c r="BB17" s="13">
        <v>5</v>
      </c>
      <c r="BC17" s="8"/>
      <c r="BD17" s="13" t="str">
        <f t="shared" si="14"/>
        <v/>
      </c>
      <c r="BE17" s="8"/>
      <c r="BF17" s="13" t="str">
        <f t="shared" si="15"/>
        <v/>
      </c>
      <c r="BG17" s="14">
        <f t="shared" si="16"/>
        <v>69.333333333333343</v>
      </c>
      <c r="BH17" s="15" t="str">
        <f t="shared" si="17"/>
        <v>C+</v>
      </c>
      <c r="BI17" s="15" t="str">
        <f t="shared" si="18"/>
        <v>PASS</v>
      </c>
    </row>
    <row r="18" spans="1:61" ht="16" customHeight="1" x14ac:dyDescent="0.2">
      <c r="A18" s="6">
        <v>4</v>
      </c>
      <c r="B18" s="6" t="s">
        <v>259</v>
      </c>
      <c r="C18" s="7" t="s">
        <v>260</v>
      </c>
      <c r="D18" s="6" t="s">
        <v>393</v>
      </c>
      <c r="E18" s="8" t="s">
        <v>362</v>
      </c>
      <c r="F18" s="8" t="s">
        <v>364</v>
      </c>
      <c r="G18" s="8" t="s">
        <v>364</v>
      </c>
      <c r="H18" s="8" t="s">
        <v>467</v>
      </c>
      <c r="I18" s="8" t="s">
        <v>467</v>
      </c>
      <c r="J18" s="8" t="s">
        <v>467</v>
      </c>
      <c r="K18" s="8" t="s">
        <v>362</v>
      </c>
      <c r="L18" s="8" t="s">
        <v>362</v>
      </c>
      <c r="M18" s="33"/>
      <c r="N18" s="8" t="s">
        <v>362</v>
      </c>
      <c r="O18" s="8" t="s">
        <v>362</v>
      </c>
      <c r="P18" s="8" t="s">
        <v>364</v>
      </c>
      <c r="Q18" s="8"/>
      <c r="R18" s="8"/>
      <c r="S18" s="8"/>
      <c r="T18" s="8"/>
      <c r="U18" s="33"/>
      <c r="V18" s="9">
        <f t="shared" si="0"/>
        <v>5</v>
      </c>
      <c r="W18" s="9">
        <f t="shared" si="1"/>
        <v>3</v>
      </c>
      <c r="X18" s="9">
        <f t="shared" si="2"/>
        <v>0</v>
      </c>
      <c r="Y18" s="9">
        <f t="shared" si="3"/>
        <v>3</v>
      </c>
      <c r="Z18" s="9">
        <f t="shared" si="4"/>
        <v>12</v>
      </c>
      <c r="AA18" s="10">
        <f t="shared" si="5"/>
        <v>0.41666666666666669</v>
      </c>
      <c r="AB18" s="11">
        <f t="shared" si="6"/>
        <v>4.166666666666667</v>
      </c>
      <c r="AC18" s="12" t="str">
        <f t="shared" si="7"/>
        <v>WARNING: 3 absences</v>
      </c>
      <c r="AD18" s="8">
        <v>100</v>
      </c>
      <c r="AE18" s="8"/>
      <c r="AF18" s="8">
        <v>0</v>
      </c>
      <c r="AG18" s="8">
        <v>90</v>
      </c>
      <c r="AH18" s="8"/>
      <c r="AI18" s="16">
        <f t="shared" si="8"/>
        <v>63.333333333333336</v>
      </c>
      <c r="AJ18" s="13">
        <f t="shared" si="9"/>
        <v>9.5</v>
      </c>
      <c r="AK18" s="8">
        <v>100</v>
      </c>
      <c r="AL18" s="8">
        <v>0</v>
      </c>
      <c r="AM18" s="8">
        <v>100</v>
      </c>
      <c r="AN18" s="8"/>
      <c r="AO18" s="8"/>
      <c r="AP18" s="8"/>
      <c r="AQ18" s="16">
        <f t="shared" si="10"/>
        <v>66.666666666666671</v>
      </c>
      <c r="AR18" s="13">
        <f t="shared" si="11"/>
        <v>16.666666666666668</v>
      </c>
      <c r="AS18" s="8">
        <v>100</v>
      </c>
      <c r="AT18" s="8">
        <v>0</v>
      </c>
      <c r="AU18" s="8">
        <v>0</v>
      </c>
      <c r="AV18" s="8">
        <v>0</v>
      </c>
      <c r="AW18" s="8"/>
      <c r="AX18" s="16">
        <f t="shared" si="12"/>
        <v>25</v>
      </c>
      <c r="AY18" s="13">
        <f t="shared" si="13"/>
        <v>2.5</v>
      </c>
      <c r="AZ18" s="8">
        <v>48</v>
      </c>
      <c r="BA18" s="13">
        <f t="shared" si="19"/>
        <v>19.2</v>
      </c>
      <c r="BB18" s="13">
        <v>2</v>
      </c>
      <c r="BC18" s="8"/>
      <c r="BD18" s="13" t="str">
        <f t="shared" si="14"/>
        <v/>
      </c>
      <c r="BE18" s="8"/>
      <c r="BF18" s="13" t="str">
        <f t="shared" si="15"/>
        <v/>
      </c>
      <c r="BG18" s="14">
        <f t="shared" si="16"/>
        <v>52.033333333333331</v>
      </c>
      <c r="BH18" s="15" t="str">
        <f t="shared" si="17"/>
        <v>D</v>
      </c>
      <c r="BI18" s="15" t="str">
        <f t="shared" si="18"/>
        <v>PASS</v>
      </c>
    </row>
    <row r="19" spans="1:61" ht="16" customHeight="1" x14ac:dyDescent="0.2">
      <c r="A19" s="6">
        <v>5</v>
      </c>
      <c r="B19" s="6" t="s">
        <v>261</v>
      </c>
      <c r="C19" s="7" t="s">
        <v>262</v>
      </c>
      <c r="D19" s="6" t="s">
        <v>374</v>
      </c>
      <c r="E19" s="8" t="s">
        <v>362</v>
      </c>
      <c r="F19" s="8" t="s">
        <v>364</v>
      </c>
      <c r="G19" s="8" t="s">
        <v>362</v>
      </c>
      <c r="H19" s="8" t="s">
        <v>467</v>
      </c>
      <c r="I19" s="8" t="s">
        <v>467</v>
      </c>
      <c r="J19" s="8" t="s">
        <v>467</v>
      </c>
      <c r="K19" s="8" t="s">
        <v>362</v>
      </c>
      <c r="L19" s="8" t="s">
        <v>362</v>
      </c>
      <c r="M19" s="33"/>
      <c r="N19" s="8" t="s">
        <v>362</v>
      </c>
      <c r="O19" s="8" t="s">
        <v>364</v>
      </c>
      <c r="P19" s="8" t="s">
        <v>364</v>
      </c>
      <c r="Q19" s="8"/>
      <c r="R19" s="8"/>
      <c r="S19" s="8"/>
      <c r="T19" s="8"/>
      <c r="U19" s="33"/>
      <c r="V19" s="9">
        <f t="shared" si="0"/>
        <v>5</v>
      </c>
      <c r="W19" s="9">
        <f t="shared" si="1"/>
        <v>3</v>
      </c>
      <c r="X19" s="9">
        <f t="shared" si="2"/>
        <v>0</v>
      </c>
      <c r="Y19" s="9">
        <f t="shared" si="3"/>
        <v>3</v>
      </c>
      <c r="Z19" s="9">
        <f t="shared" si="4"/>
        <v>12</v>
      </c>
      <c r="AA19" s="10">
        <f t="shared" si="5"/>
        <v>0.41666666666666669</v>
      </c>
      <c r="AB19" s="11">
        <f t="shared" si="6"/>
        <v>4.166666666666667</v>
      </c>
      <c r="AC19" s="12" t="str">
        <f t="shared" si="7"/>
        <v>WARNING: 3 absences</v>
      </c>
      <c r="AD19" s="8">
        <v>100</v>
      </c>
      <c r="AE19" s="8"/>
      <c r="AF19" s="8">
        <v>0</v>
      </c>
      <c r="AG19" s="8">
        <v>100</v>
      </c>
      <c r="AH19" s="8"/>
      <c r="AI19" s="16">
        <f t="shared" si="8"/>
        <v>66.666666666666671</v>
      </c>
      <c r="AJ19" s="13">
        <f t="shared" si="9"/>
        <v>10.000000000000002</v>
      </c>
      <c r="AK19" s="8">
        <v>100</v>
      </c>
      <c r="AL19" s="8">
        <v>100</v>
      </c>
      <c r="AM19" s="8">
        <v>100</v>
      </c>
      <c r="AN19" s="8"/>
      <c r="AO19" s="8"/>
      <c r="AP19" s="8"/>
      <c r="AQ19" s="16">
        <f t="shared" si="10"/>
        <v>100</v>
      </c>
      <c r="AR19" s="13">
        <f t="shared" si="11"/>
        <v>25</v>
      </c>
      <c r="AS19" s="8">
        <v>100</v>
      </c>
      <c r="AT19" s="8">
        <v>100</v>
      </c>
      <c r="AU19" s="8">
        <v>0</v>
      </c>
      <c r="AV19" s="8">
        <v>0</v>
      </c>
      <c r="AW19" s="8"/>
      <c r="AX19" s="16">
        <f t="shared" si="12"/>
        <v>50</v>
      </c>
      <c r="AY19" s="13">
        <f t="shared" si="13"/>
        <v>5</v>
      </c>
      <c r="AZ19" s="8">
        <v>47</v>
      </c>
      <c r="BA19" s="13">
        <f t="shared" si="19"/>
        <v>18.799999999999997</v>
      </c>
      <c r="BB19" s="13">
        <v>5</v>
      </c>
      <c r="BC19" s="8"/>
      <c r="BD19" s="13" t="str">
        <f t="shared" si="14"/>
        <v/>
      </c>
      <c r="BE19" s="8"/>
      <c r="BF19" s="13" t="str">
        <f t="shared" si="15"/>
        <v/>
      </c>
      <c r="BG19" s="14">
        <f t="shared" si="16"/>
        <v>62.966666666666669</v>
      </c>
      <c r="BH19" s="15" t="str">
        <f t="shared" si="17"/>
        <v>C</v>
      </c>
      <c r="BI19" s="15" t="str">
        <f t="shared" si="18"/>
        <v>PASS</v>
      </c>
    </row>
    <row r="20" spans="1:61" ht="16" customHeight="1" x14ac:dyDescent="0.2">
      <c r="A20" s="6">
        <v>6</v>
      </c>
      <c r="B20" s="6" t="s">
        <v>263</v>
      </c>
      <c r="C20" s="7" t="s">
        <v>264</v>
      </c>
      <c r="D20" s="6" t="s">
        <v>443</v>
      </c>
      <c r="E20" s="8" t="s">
        <v>362</v>
      </c>
      <c r="F20" s="8" t="s">
        <v>362</v>
      </c>
      <c r="G20" s="8" t="s">
        <v>364</v>
      </c>
      <c r="H20" s="8" t="s">
        <v>467</v>
      </c>
      <c r="I20" s="8" t="s">
        <v>467</v>
      </c>
      <c r="J20" s="8" t="s">
        <v>467</v>
      </c>
      <c r="K20" s="8" t="s">
        <v>362</v>
      </c>
      <c r="L20" s="8" t="s">
        <v>362</v>
      </c>
      <c r="M20" s="33"/>
      <c r="N20" s="8" t="s">
        <v>362</v>
      </c>
      <c r="O20" s="8" t="s">
        <v>362</v>
      </c>
      <c r="P20" s="8" t="s">
        <v>364</v>
      </c>
      <c r="Q20" s="8"/>
      <c r="R20" s="8"/>
      <c r="S20" s="8"/>
      <c r="T20" s="8"/>
      <c r="U20" s="33"/>
      <c r="V20" s="9">
        <f t="shared" si="0"/>
        <v>6</v>
      </c>
      <c r="W20" s="9">
        <f t="shared" si="1"/>
        <v>2</v>
      </c>
      <c r="X20" s="9">
        <f t="shared" si="2"/>
        <v>0</v>
      </c>
      <c r="Y20" s="9">
        <f t="shared" si="3"/>
        <v>3</v>
      </c>
      <c r="Z20" s="9">
        <f t="shared" si="4"/>
        <v>12</v>
      </c>
      <c r="AA20" s="10">
        <f t="shared" si="5"/>
        <v>0.5</v>
      </c>
      <c r="AB20" s="11">
        <f t="shared" si="6"/>
        <v>5</v>
      </c>
      <c r="AC20" s="12" t="str">
        <f t="shared" si="7"/>
        <v>OK</v>
      </c>
      <c r="AD20" s="8">
        <v>100</v>
      </c>
      <c r="AE20" s="8"/>
      <c r="AF20" s="8">
        <v>90</v>
      </c>
      <c r="AG20" s="8">
        <v>100</v>
      </c>
      <c r="AH20" s="8"/>
      <c r="AI20" s="16">
        <f t="shared" si="8"/>
        <v>96.666666666666671</v>
      </c>
      <c r="AJ20" s="13">
        <f t="shared" si="9"/>
        <v>14.5</v>
      </c>
      <c r="AK20" s="8">
        <v>100</v>
      </c>
      <c r="AL20" s="8">
        <v>100</v>
      </c>
      <c r="AM20" s="8">
        <v>100</v>
      </c>
      <c r="AN20" s="8"/>
      <c r="AO20" s="8"/>
      <c r="AP20" s="8"/>
      <c r="AQ20" s="16">
        <f t="shared" si="10"/>
        <v>100</v>
      </c>
      <c r="AR20" s="13">
        <f t="shared" si="11"/>
        <v>25</v>
      </c>
      <c r="AS20" s="8">
        <v>100</v>
      </c>
      <c r="AT20" s="8">
        <v>0</v>
      </c>
      <c r="AU20" s="8">
        <v>90</v>
      </c>
      <c r="AV20" s="8">
        <v>0</v>
      </c>
      <c r="AW20" s="8"/>
      <c r="AX20" s="16">
        <f t="shared" si="12"/>
        <v>47.5</v>
      </c>
      <c r="AY20" s="13">
        <f t="shared" si="13"/>
        <v>4.75</v>
      </c>
      <c r="AZ20" s="8">
        <v>48</v>
      </c>
      <c r="BA20" s="13">
        <f t="shared" si="19"/>
        <v>19.2</v>
      </c>
      <c r="BB20" s="13">
        <v>6</v>
      </c>
      <c r="BC20" s="8"/>
      <c r="BD20" s="13" t="str">
        <f t="shared" si="14"/>
        <v/>
      </c>
      <c r="BE20" s="8"/>
      <c r="BF20" s="13" t="str">
        <f t="shared" si="15"/>
        <v/>
      </c>
      <c r="BG20" s="14">
        <f t="shared" si="16"/>
        <v>68.45</v>
      </c>
      <c r="BH20" s="15" t="str">
        <f t="shared" si="17"/>
        <v>C+</v>
      </c>
      <c r="BI20" s="15" t="str">
        <f t="shared" si="18"/>
        <v>PASS</v>
      </c>
    </row>
    <row r="21" spans="1:61" ht="16" customHeight="1" x14ac:dyDescent="0.2">
      <c r="A21" s="6">
        <v>7</v>
      </c>
      <c r="B21" s="6" t="s">
        <v>265</v>
      </c>
      <c r="C21" s="7" t="s">
        <v>266</v>
      </c>
      <c r="D21" s="6" t="s">
        <v>394</v>
      </c>
      <c r="E21" s="8" t="s">
        <v>362</v>
      </c>
      <c r="F21" s="8" t="s">
        <v>362</v>
      </c>
      <c r="G21" s="8" t="s">
        <v>364</v>
      </c>
      <c r="H21" s="8" t="s">
        <v>467</v>
      </c>
      <c r="I21" s="8" t="s">
        <v>467</v>
      </c>
      <c r="J21" s="8" t="s">
        <v>467</v>
      </c>
      <c r="K21" s="8" t="s">
        <v>362</v>
      </c>
      <c r="L21" s="8" t="s">
        <v>362</v>
      </c>
      <c r="M21" s="33"/>
      <c r="N21" s="8" t="s">
        <v>403</v>
      </c>
      <c r="O21" s="8" t="s">
        <v>362</v>
      </c>
      <c r="P21" s="8" t="s">
        <v>362</v>
      </c>
      <c r="Q21" s="8"/>
      <c r="R21" s="8"/>
      <c r="S21" s="8"/>
      <c r="T21" s="8"/>
      <c r="U21" s="33"/>
      <c r="V21" s="9">
        <f t="shared" si="0"/>
        <v>6</v>
      </c>
      <c r="W21" s="9">
        <f t="shared" si="1"/>
        <v>1</v>
      </c>
      <c r="X21" s="9">
        <f t="shared" si="2"/>
        <v>1</v>
      </c>
      <c r="Y21" s="9">
        <f t="shared" si="3"/>
        <v>3</v>
      </c>
      <c r="Z21" s="9">
        <f t="shared" si="4"/>
        <v>12</v>
      </c>
      <c r="AA21" s="10">
        <f t="shared" si="5"/>
        <v>0.58333333333333337</v>
      </c>
      <c r="AB21" s="11">
        <f t="shared" si="6"/>
        <v>5.8333333333333339</v>
      </c>
      <c r="AC21" s="12" t="str">
        <f t="shared" si="7"/>
        <v>OK</v>
      </c>
      <c r="AD21" s="8">
        <v>100</v>
      </c>
      <c r="AE21" s="8"/>
      <c r="AF21" s="8">
        <v>0</v>
      </c>
      <c r="AG21" s="8">
        <v>100</v>
      </c>
      <c r="AH21" s="8"/>
      <c r="AI21" s="16">
        <f t="shared" si="8"/>
        <v>66.666666666666671</v>
      </c>
      <c r="AJ21" s="13">
        <f t="shared" si="9"/>
        <v>10.000000000000002</v>
      </c>
      <c r="AK21" s="8">
        <v>100</v>
      </c>
      <c r="AL21" s="8">
        <v>100</v>
      </c>
      <c r="AM21" s="8">
        <v>100</v>
      </c>
      <c r="AN21" s="8"/>
      <c r="AO21" s="8"/>
      <c r="AP21" s="8"/>
      <c r="AQ21" s="16">
        <f t="shared" si="10"/>
        <v>100</v>
      </c>
      <c r="AR21" s="13">
        <f t="shared" si="11"/>
        <v>25</v>
      </c>
      <c r="AS21" s="8">
        <v>100</v>
      </c>
      <c r="AT21" s="8">
        <v>0</v>
      </c>
      <c r="AU21" s="8">
        <v>0</v>
      </c>
      <c r="AV21" s="8">
        <v>100</v>
      </c>
      <c r="AW21" s="8"/>
      <c r="AX21" s="16">
        <f t="shared" si="12"/>
        <v>50</v>
      </c>
      <c r="AY21" s="13">
        <f t="shared" si="13"/>
        <v>5</v>
      </c>
      <c r="AZ21" s="8">
        <v>37</v>
      </c>
      <c r="BA21" s="13">
        <f t="shared" si="19"/>
        <v>14.8</v>
      </c>
      <c r="BB21" s="13">
        <v>4</v>
      </c>
      <c r="BC21" s="8"/>
      <c r="BD21" s="13" t="str">
        <f t="shared" si="14"/>
        <v/>
      </c>
      <c r="BE21" s="8"/>
      <c r="BF21" s="13" t="str">
        <f t="shared" si="15"/>
        <v/>
      </c>
      <c r="BG21" s="14">
        <f t="shared" si="16"/>
        <v>60.63333333333334</v>
      </c>
      <c r="BH21" s="15" t="str">
        <f t="shared" si="17"/>
        <v>C</v>
      </c>
      <c r="BI21" s="15" t="str">
        <f t="shared" si="18"/>
        <v>PASS</v>
      </c>
    </row>
    <row r="22" spans="1:61" ht="16" customHeight="1" x14ac:dyDescent="0.2">
      <c r="A22" s="6">
        <v>8</v>
      </c>
      <c r="B22" s="6" t="s">
        <v>267</v>
      </c>
      <c r="C22" s="7" t="s">
        <v>268</v>
      </c>
      <c r="D22" s="6" t="s">
        <v>444</v>
      </c>
      <c r="E22" s="8" t="s">
        <v>362</v>
      </c>
      <c r="F22" s="8" t="s">
        <v>362</v>
      </c>
      <c r="G22" s="8" t="s">
        <v>364</v>
      </c>
      <c r="H22" s="8" t="s">
        <v>467</v>
      </c>
      <c r="I22" s="8" t="s">
        <v>467</v>
      </c>
      <c r="J22" s="8" t="s">
        <v>467</v>
      </c>
      <c r="K22" s="8" t="s">
        <v>362</v>
      </c>
      <c r="L22" s="8" t="s">
        <v>362</v>
      </c>
      <c r="M22" s="33"/>
      <c r="N22" s="8" t="s">
        <v>362</v>
      </c>
      <c r="O22" s="8" t="s">
        <v>362</v>
      </c>
      <c r="P22" s="8" t="s">
        <v>362</v>
      </c>
      <c r="Q22" s="8"/>
      <c r="R22" s="8"/>
      <c r="S22" s="8"/>
      <c r="T22" s="8"/>
      <c r="U22" s="33"/>
      <c r="V22" s="9">
        <f t="shared" si="0"/>
        <v>7</v>
      </c>
      <c r="W22" s="9">
        <f t="shared" si="1"/>
        <v>1</v>
      </c>
      <c r="X22" s="9">
        <f t="shared" si="2"/>
        <v>0</v>
      </c>
      <c r="Y22" s="9">
        <f t="shared" si="3"/>
        <v>3</v>
      </c>
      <c r="Z22" s="9">
        <f t="shared" si="4"/>
        <v>12</v>
      </c>
      <c r="AA22" s="10">
        <f t="shared" si="5"/>
        <v>0.58333333333333337</v>
      </c>
      <c r="AB22" s="11">
        <f t="shared" si="6"/>
        <v>5.8333333333333339</v>
      </c>
      <c r="AC22" s="12" t="str">
        <f t="shared" si="7"/>
        <v>OK</v>
      </c>
      <c r="AD22" s="8">
        <v>100</v>
      </c>
      <c r="AE22" s="8"/>
      <c r="AF22" s="8">
        <v>0</v>
      </c>
      <c r="AG22" s="8">
        <v>0</v>
      </c>
      <c r="AH22" s="8"/>
      <c r="AI22" s="16">
        <f t="shared" si="8"/>
        <v>33.333333333333336</v>
      </c>
      <c r="AJ22" s="13">
        <f t="shared" si="9"/>
        <v>5.0000000000000009</v>
      </c>
      <c r="AK22" s="8">
        <v>100</v>
      </c>
      <c r="AL22" s="8">
        <v>100</v>
      </c>
      <c r="AM22" s="8">
        <v>100</v>
      </c>
      <c r="AN22" s="8"/>
      <c r="AO22" s="8"/>
      <c r="AP22" s="8"/>
      <c r="AQ22" s="16">
        <f t="shared" si="10"/>
        <v>100</v>
      </c>
      <c r="AR22" s="13">
        <f t="shared" si="11"/>
        <v>25</v>
      </c>
      <c r="AS22" s="8">
        <v>100</v>
      </c>
      <c r="AT22" s="8">
        <v>0</v>
      </c>
      <c r="AU22" s="8">
        <v>0</v>
      </c>
      <c r="AV22" s="8">
        <v>100</v>
      </c>
      <c r="AW22" s="8"/>
      <c r="AX22" s="16">
        <f t="shared" si="12"/>
        <v>50</v>
      </c>
      <c r="AY22" s="13">
        <f t="shared" si="13"/>
        <v>5</v>
      </c>
      <c r="AZ22" s="8">
        <v>45</v>
      </c>
      <c r="BA22" s="13">
        <f t="shared" si="19"/>
        <v>18</v>
      </c>
      <c r="BB22" s="13">
        <v>6</v>
      </c>
      <c r="BC22" s="8"/>
      <c r="BD22" s="13" t="str">
        <f t="shared" si="14"/>
        <v/>
      </c>
      <c r="BE22" s="8"/>
      <c r="BF22" s="13" t="str">
        <f t="shared" si="15"/>
        <v/>
      </c>
      <c r="BG22" s="14">
        <f t="shared" si="16"/>
        <v>58.833333333333336</v>
      </c>
      <c r="BH22" s="15" t="str">
        <f t="shared" si="17"/>
        <v>D+</v>
      </c>
      <c r="BI22" s="15" t="str">
        <f t="shared" si="18"/>
        <v>PASS</v>
      </c>
    </row>
    <row r="23" spans="1:61" ht="16" customHeight="1" x14ac:dyDescent="0.2">
      <c r="A23" s="6">
        <v>9</v>
      </c>
      <c r="B23" s="6" t="s">
        <v>269</v>
      </c>
      <c r="C23" s="7" t="s">
        <v>270</v>
      </c>
      <c r="D23" s="6" t="s">
        <v>445</v>
      </c>
      <c r="E23" s="8" t="s">
        <v>362</v>
      </c>
      <c r="F23" s="8" t="s">
        <v>364</v>
      </c>
      <c r="G23" s="8" t="s">
        <v>362</v>
      </c>
      <c r="H23" s="8" t="s">
        <v>467</v>
      </c>
      <c r="I23" s="8" t="s">
        <v>467</v>
      </c>
      <c r="J23" s="8" t="s">
        <v>467</v>
      </c>
      <c r="K23" s="8" t="s">
        <v>362</v>
      </c>
      <c r="L23" s="8" t="s">
        <v>364</v>
      </c>
      <c r="M23" s="33"/>
      <c r="N23" s="8" t="s">
        <v>362</v>
      </c>
      <c r="O23" s="8" t="s">
        <v>364</v>
      </c>
      <c r="P23" s="8" t="s">
        <v>364</v>
      </c>
      <c r="Q23" s="8"/>
      <c r="R23" s="8"/>
      <c r="S23" s="8"/>
      <c r="T23" s="8"/>
      <c r="U23" s="33"/>
      <c r="V23" s="9">
        <f t="shared" si="0"/>
        <v>4</v>
      </c>
      <c r="W23" s="9">
        <f t="shared" si="1"/>
        <v>4</v>
      </c>
      <c r="X23" s="9">
        <f t="shared" si="2"/>
        <v>0</v>
      </c>
      <c r="Y23" s="9">
        <f t="shared" si="3"/>
        <v>3</v>
      </c>
      <c r="Z23" s="9">
        <f t="shared" si="4"/>
        <v>12</v>
      </c>
      <c r="AA23" s="10">
        <f t="shared" si="5"/>
        <v>0.33333333333333331</v>
      </c>
      <c r="AB23" s="11">
        <f t="shared" si="6"/>
        <v>3.333333333333333</v>
      </c>
      <c r="AC23" s="12" t="str">
        <f t="shared" si="7"/>
        <v>MAXIMUM ABSENCES REACHED</v>
      </c>
      <c r="AD23" s="8">
        <v>100</v>
      </c>
      <c r="AE23" s="8"/>
      <c r="AF23" s="8">
        <v>0</v>
      </c>
      <c r="AG23" s="8">
        <v>0</v>
      </c>
      <c r="AH23" s="8"/>
      <c r="AI23" s="16">
        <f t="shared" si="8"/>
        <v>33.333333333333336</v>
      </c>
      <c r="AJ23" s="13">
        <f t="shared" si="9"/>
        <v>5.0000000000000009</v>
      </c>
      <c r="AK23" s="8">
        <v>100</v>
      </c>
      <c r="AL23" s="8">
        <v>0</v>
      </c>
      <c r="AM23" s="8">
        <v>100</v>
      </c>
      <c r="AN23" s="8"/>
      <c r="AO23" s="8"/>
      <c r="AP23" s="8"/>
      <c r="AQ23" s="16">
        <f t="shared" si="10"/>
        <v>66.666666666666671</v>
      </c>
      <c r="AR23" s="13">
        <f t="shared" si="11"/>
        <v>16.666666666666668</v>
      </c>
      <c r="AS23" s="8">
        <v>100</v>
      </c>
      <c r="AT23" s="8">
        <v>0</v>
      </c>
      <c r="AU23" s="8">
        <v>0</v>
      </c>
      <c r="AV23" s="8">
        <v>0</v>
      </c>
      <c r="AW23" s="8"/>
      <c r="AX23" s="16">
        <f t="shared" si="12"/>
        <v>25</v>
      </c>
      <c r="AY23" s="13">
        <f t="shared" si="13"/>
        <v>2.5</v>
      </c>
      <c r="AZ23" s="8">
        <v>39</v>
      </c>
      <c r="BA23" s="13">
        <f t="shared" si="19"/>
        <v>15.600000000000001</v>
      </c>
      <c r="BB23" s="13"/>
      <c r="BC23" s="8"/>
      <c r="BD23" s="13" t="str">
        <f t="shared" si="14"/>
        <v/>
      </c>
      <c r="BE23" s="8"/>
      <c r="BF23" s="13" t="str">
        <f t="shared" si="15"/>
        <v/>
      </c>
      <c r="BG23" s="14">
        <f t="shared" si="16"/>
        <v>43.1</v>
      </c>
      <c r="BH23" s="15" t="str">
        <f t="shared" si="17"/>
        <v>E/F</v>
      </c>
      <c r="BI23" s="15" t="str">
        <f t="shared" si="18"/>
        <v>NOT PASS</v>
      </c>
    </row>
    <row r="24" spans="1:61" ht="16" customHeight="1" x14ac:dyDescent="0.2">
      <c r="A24" s="6">
        <v>10</v>
      </c>
      <c r="B24" s="6" t="s">
        <v>271</v>
      </c>
      <c r="C24" s="7" t="s">
        <v>272</v>
      </c>
      <c r="D24" s="6" t="s">
        <v>446</v>
      </c>
      <c r="E24" s="8" t="s">
        <v>362</v>
      </c>
      <c r="F24" s="8" t="s">
        <v>364</v>
      </c>
      <c r="G24" s="8" t="s">
        <v>362</v>
      </c>
      <c r="H24" s="8" t="s">
        <v>467</v>
      </c>
      <c r="I24" s="8" t="s">
        <v>467</v>
      </c>
      <c r="J24" s="8" t="s">
        <v>467</v>
      </c>
      <c r="K24" s="8" t="s">
        <v>362</v>
      </c>
      <c r="L24" s="8" t="s">
        <v>364</v>
      </c>
      <c r="M24" s="33"/>
      <c r="N24" s="8" t="s">
        <v>362</v>
      </c>
      <c r="O24" s="8" t="s">
        <v>364</v>
      </c>
      <c r="P24" s="8" t="s">
        <v>364</v>
      </c>
      <c r="Q24" s="8"/>
      <c r="R24" s="8"/>
      <c r="S24" s="8"/>
      <c r="T24" s="8"/>
      <c r="U24" s="33"/>
      <c r="V24" s="9">
        <f t="shared" si="0"/>
        <v>4</v>
      </c>
      <c r="W24" s="9">
        <f t="shared" si="1"/>
        <v>4</v>
      </c>
      <c r="X24" s="9">
        <f t="shared" si="2"/>
        <v>0</v>
      </c>
      <c r="Y24" s="9">
        <f t="shared" si="3"/>
        <v>3</v>
      </c>
      <c r="Z24" s="9">
        <f t="shared" si="4"/>
        <v>12</v>
      </c>
      <c r="AA24" s="10">
        <f t="shared" si="5"/>
        <v>0.33333333333333331</v>
      </c>
      <c r="AB24" s="11">
        <f t="shared" si="6"/>
        <v>3.333333333333333</v>
      </c>
      <c r="AC24" s="12" t="str">
        <f t="shared" si="7"/>
        <v>MAXIMUM ABSENCES REACHED</v>
      </c>
      <c r="AD24" s="8">
        <v>100</v>
      </c>
      <c r="AE24" s="8"/>
      <c r="AF24" s="8">
        <v>0</v>
      </c>
      <c r="AG24" s="8">
        <v>0</v>
      </c>
      <c r="AH24" s="8"/>
      <c r="AI24" s="16">
        <f t="shared" si="8"/>
        <v>33.333333333333336</v>
      </c>
      <c r="AJ24" s="13">
        <f t="shared" si="9"/>
        <v>5.0000000000000009</v>
      </c>
      <c r="AK24" s="8">
        <v>100</v>
      </c>
      <c r="AL24" s="8">
        <v>0</v>
      </c>
      <c r="AM24" s="8">
        <v>100</v>
      </c>
      <c r="AN24" s="8"/>
      <c r="AO24" s="8"/>
      <c r="AP24" s="8"/>
      <c r="AQ24" s="16">
        <f t="shared" si="10"/>
        <v>66.666666666666671</v>
      </c>
      <c r="AR24" s="13">
        <f t="shared" si="11"/>
        <v>16.666666666666668</v>
      </c>
      <c r="AS24" s="8">
        <v>100</v>
      </c>
      <c r="AT24" s="8">
        <v>0</v>
      </c>
      <c r="AU24" s="8">
        <v>0</v>
      </c>
      <c r="AV24" s="8">
        <v>0</v>
      </c>
      <c r="AW24" s="8"/>
      <c r="AX24" s="16">
        <f t="shared" si="12"/>
        <v>25</v>
      </c>
      <c r="AY24" s="13">
        <f t="shared" si="13"/>
        <v>2.5</v>
      </c>
      <c r="AZ24" s="8">
        <v>38</v>
      </c>
      <c r="BA24" s="13">
        <f t="shared" si="19"/>
        <v>15.2</v>
      </c>
      <c r="BB24" s="13"/>
      <c r="BC24" s="8"/>
      <c r="BD24" s="13" t="str">
        <f t="shared" si="14"/>
        <v/>
      </c>
      <c r="BE24" s="8"/>
      <c r="BF24" s="13" t="str">
        <f t="shared" si="15"/>
        <v/>
      </c>
      <c r="BG24" s="14">
        <f t="shared" si="16"/>
        <v>42.7</v>
      </c>
      <c r="BH24" s="15" t="str">
        <f t="shared" si="17"/>
        <v>E/F</v>
      </c>
      <c r="BI24" s="15" t="str">
        <f t="shared" si="18"/>
        <v>NOT PASS</v>
      </c>
    </row>
    <row r="25" spans="1:61" ht="16" customHeight="1" x14ac:dyDescent="0.2">
      <c r="A25" s="6">
        <v>11</v>
      </c>
      <c r="B25" s="6" t="s">
        <v>273</v>
      </c>
      <c r="C25" s="7" t="s">
        <v>274</v>
      </c>
      <c r="D25" s="6" t="s">
        <v>501</v>
      </c>
      <c r="E25" s="8" t="s">
        <v>362</v>
      </c>
      <c r="F25" s="8" t="s">
        <v>362</v>
      </c>
      <c r="G25" s="8" t="s">
        <v>362</v>
      </c>
      <c r="H25" s="8" t="s">
        <v>467</v>
      </c>
      <c r="I25" s="8" t="s">
        <v>467</v>
      </c>
      <c r="J25" s="8" t="s">
        <v>467</v>
      </c>
      <c r="K25" s="8" t="s">
        <v>364</v>
      </c>
      <c r="L25" s="8" t="s">
        <v>362</v>
      </c>
      <c r="M25" s="33"/>
      <c r="N25" s="8" t="s">
        <v>362</v>
      </c>
      <c r="O25" s="8" t="s">
        <v>362</v>
      </c>
      <c r="P25" s="8" t="s">
        <v>362</v>
      </c>
      <c r="Q25" s="8"/>
      <c r="R25" s="8"/>
      <c r="S25" s="8"/>
      <c r="T25" s="8"/>
      <c r="U25" s="33"/>
      <c r="V25" s="9">
        <f t="shared" si="0"/>
        <v>7</v>
      </c>
      <c r="W25" s="9">
        <f t="shared" si="1"/>
        <v>1</v>
      </c>
      <c r="X25" s="9">
        <f t="shared" si="2"/>
        <v>0</v>
      </c>
      <c r="Y25" s="9">
        <f t="shared" si="3"/>
        <v>3</v>
      </c>
      <c r="Z25" s="9">
        <f t="shared" si="4"/>
        <v>12</v>
      </c>
      <c r="AA25" s="10">
        <f t="shared" si="5"/>
        <v>0.58333333333333337</v>
      </c>
      <c r="AB25" s="11">
        <f t="shared" si="6"/>
        <v>5.8333333333333339</v>
      </c>
      <c r="AC25" s="12" t="str">
        <f t="shared" si="7"/>
        <v>OK</v>
      </c>
      <c r="AD25" s="8">
        <v>100</v>
      </c>
      <c r="AE25" s="8"/>
      <c r="AF25" s="8">
        <v>82</v>
      </c>
      <c r="AG25" s="8">
        <v>95</v>
      </c>
      <c r="AH25" s="8"/>
      <c r="AI25" s="16">
        <f t="shared" si="8"/>
        <v>92.333333333333329</v>
      </c>
      <c r="AJ25" s="13">
        <f t="shared" si="9"/>
        <v>13.85</v>
      </c>
      <c r="AK25" s="8">
        <v>100</v>
      </c>
      <c r="AL25" s="8">
        <v>100</v>
      </c>
      <c r="AM25" s="8">
        <v>0</v>
      </c>
      <c r="AN25" s="8"/>
      <c r="AO25" s="8"/>
      <c r="AP25" s="8"/>
      <c r="AQ25" s="16">
        <f t="shared" si="10"/>
        <v>66.666666666666671</v>
      </c>
      <c r="AR25" s="13">
        <f t="shared" si="11"/>
        <v>16.666666666666668</v>
      </c>
      <c r="AS25" s="8">
        <v>100</v>
      </c>
      <c r="AT25" s="8">
        <v>100</v>
      </c>
      <c r="AU25" s="8">
        <v>82</v>
      </c>
      <c r="AV25" s="8">
        <v>100</v>
      </c>
      <c r="AW25" s="8"/>
      <c r="AX25" s="16">
        <f t="shared" si="12"/>
        <v>95.5</v>
      </c>
      <c r="AY25" s="13">
        <f t="shared" si="13"/>
        <v>9.5499999999999989</v>
      </c>
      <c r="AZ25" s="8">
        <v>37</v>
      </c>
      <c r="BA25" s="13">
        <f t="shared" si="19"/>
        <v>14.8</v>
      </c>
      <c r="BB25" s="13">
        <v>1</v>
      </c>
      <c r="BC25" s="8"/>
      <c r="BD25" s="13" t="str">
        <f t="shared" si="14"/>
        <v/>
      </c>
      <c r="BE25" s="8"/>
      <c r="BF25" s="13" t="str">
        <f t="shared" si="15"/>
        <v/>
      </c>
      <c r="BG25" s="14">
        <f t="shared" si="16"/>
        <v>60.7</v>
      </c>
      <c r="BH25" s="15" t="str">
        <f t="shared" si="17"/>
        <v>C</v>
      </c>
      <c r="BI25" s="15" t="str">
        <f t="shared" si="18"/>
        <v>PASS</v>
      </c>
    </row>
    <row r="26" spans="1:61" ht="16" customHeight="1" x14ac:dyDescent="0.2">
      <c r="A26" s="6">
        <v>12</v>
      </c>
      <c r="B26" s="6" t="s">
        <v>275</v>
      </c>
      <c r="C26" s="7" t="s">
        <v>276</v>
      </c>
      <c r="D26" s="6" t="s">
        <v>502</v>
      </c>
      <c r="E26" s="8" t="s">
        <v>362</v>
      </c>
      <c r="F26" s="8" t="s">
        <v>362</v>
      </c>
      <c r="G26" s="8" t="s">
        <v>362</v>
      </c>
      <c r="H26" s="8" t="s">
        <v>467</v>
      </c>
      <c r="I26" s="8" t="s">
        <v>467</v>
      </c>
      <c r="J26" s="8" t="s">
        <v>467</v>
      </c>
      <c r="K26" s="8" t="s">
        <v>364</v>
      </c>
      <c r="L26" s="8" t="s">
        <v>362</v>
      </c>
      <c r="M26" s="33"/>
      <c r="N26" s="8" t="s">
        <v>362</v>
      </c>
      <c r="O26" s="8" t="s">
        <v>362</v>
      </c>
      <c r="P26" s="8" t="s">
        <v>362</v>
      </c>
      <c r="Q26" s="8"/>
      <c r="R26" s="8"/>
      <c r="S26" s="8"/>
      <c r="T26" s="8"/>
      <c r="U26" s="33"/>
      <c r="V26" s="9">
        <f t="shared" si="0"/>
        <v>7</v>
      </c>
      <c r="W26" s="9">
        <f t="shared" si="1"/>
        <v>1</v>
      </c>
      <c r="X26" s="9">
        <f t="shared" si="2"/>
        <v>0</v>
      </c>
      <c r="Y26" s="9">
        <f t="shared" si="3"/>
        <v>3</v>
      </c>
      <c r="Z26" s="9">
        <f t="shared" si="4"/>
        <v>12</v>
      </c>
      <c r="AA26" s="10">
        <f t="shared" si="5"/>
        <v>0.58333333333333337</v>
      </c>
      <c r="AB26" s="11">
        <f t="shared" si="6"/>
        <v>5.8333333333333339</v>
      </c>
      <c r="AC26" s="12" t="str">
        <f t="shared" si="7"/>
        <v>OK</v>
      </c>
      <c r="AD26" s="8">
        <v>100</v>
      </c>
      <c r="AE26" s="8"/>
      <c r="AF26" s="8">
        <v>0</v>
      </c>
      <c r="AG26" s="8">
        <v>100</v>
      </c>
      <c r="AH26" s="8"/>
      <c r="AI26" s="16">
        <f t="shared" si="8"/>
        <v>66.666666666666671</v>
      </c>
      <c r="AJ26" s="13">
        <f t="shared" si="9"/>
        <v>10.000000000000002</v>
      </c>
      <c r="AK26" s="8">
        <v>100</v>
      </c>
      <c r="AL26" s="8">
        <v>100</v>
      </c>
      <c r="AM26" s="8">
        <v>0</v>
      </c>
      <c r="AN26" s="8"/>
      <c r="AO26" s="8"/>
      <c r="AP26" s="8"/>
      <c r="AQ26" s="16">
        <f t="shared" si="10"/>
        <v>66.666666666666671</v>
      </c>
      <c r="AR26" s="13">
        <f t="shared" si="11"/>
        <v>16.666666666666668</v>
      </c>
      <c r="AS26" s="8">
        <v>100</v>
      </c>
      <c r="AT26" s="8">
        <v>100</v>
      </c>
      <c r="AU26" s="8">
        <v>0</v>
      </c>
      <c r="AV26" s="8">
        <v>100</v>
      </c>
      <c r="AW26" s="8"/>
      <c r="AX26" s="16">
        <f t="shared" si="12"/>
        <v>75</v>
      </c>
      <c r="AY26" s="13">
        <f t="shared" si="13"/>
        <v>7.5</v>
      </c>
      <c r="AZ26" s="8">
        <v>40</v>
      </c>
      <c r="BA26" s="13">
        <f t="shared" si="19"/>
        <v>16</v>
      </c>
      <c r="BB26" s="13">
        <v>5</v>
      </c>
      <c r="BC26" s="8"/>
      <c r="BD26" s="13" t="str">
        <f t="shared" si="14"/>
        <v/>
      </c>
      <c r="BE26" s="8"/>
      <c r="BF26" s="13" t="str">
        <f t="shared" si="15"/>
        <v/>
      </c>
      <c r="BG26" s="14">
        <f t="shared" si="16"/>
        <v>56</v>
      </c>
      <c r="BH26" s="15" t="str">
        <f t="shared" si="17"/>
        <v>D+</v>
      </c>
      <c r="BI26" s="15" t="str">
        <f t="shared" si="18"/>
        <v>PASS</v>
      </c>
    </row>
    <row r="27" spans="1:61" ht="16" customHeight="1" x14ac:dyDescent="0.2">
      <c r="A27" s="6">
        <v>13</v>
      </c>
      <c r="B27" s="6" t="s">
        <v>277</v>
      </c>
      <c r="C27" s="7" t="s">
        <v>278</v>
      </c>
      <c r="D27" s="6" t="s">
        <v>503</v>
      </c>
      <c r="E27" s="8" t="s">
        <v>362</v>
      </c>
      <c r="F27" s="8" t="s">
        <v>362</v>
      </c>
      <c r="G27" s="8" t="s">
        <v>362</v>
      </c>
      <c r="H27" s="8" t="s">
        <v>467</v>
      </c>
      <c r="I27" s="8" t="s">
        <v>467</v>
      </c>
      <c r="J27" s="8" t="s">
        <v>467</v>
      </c>
      <c r="K27" s="8" t="s">
        <v>362</v>
      </c>
      <c r="L27" s="8" t="s">
        <v>362</v>
      </c>
      <c r="M27" s="33"/>
      <c r="N27" s="8" t="s">
        <v>362</v>
      </c>
      <c r="O27" s="8" t="s">
        <v>362</v>
      </c>
      <c r="P27" s="8" t="s">
        <v>364</v>
      </c>
      <c r="Q27" s="8"/>
      <c r="R27" s="8"/>
      <c r="S27" s="8"/>
      <c r="T27" s="8"/>
      <c r="U27" s="33"/>
      <c r="V27" s="9">
        <f t="shared" si="0"/>
        <v>7</v>
      </c>
      <c r="W27" s="9">
        <f t="shared" si="1"/>
        <v>1</v>
      </c>
      <c r="X27" s="9">
        <f t="shared" si="2"/>
        <v>0</v>
      </c>
      <c r="Y27" s="9">
        <f t="shared" si="3"/>
        <v>3</v>
      </c>
      <c r="Z27" s="9">
        <f t="shared" si="4"/>
        <v>12</v>
      </c>
      <c r="AA27" s="10">
        <f t="shared" si="5"/>
        <v>0.58333333333333337</v>
      </c>
      <c r="AB27" s="11">
        <f t="shared" si="6"/>
        <v>5.8333333333333339</v>
      </c>
      <c r="AC27" s="12" t="str">
        <f t="shared" si="7"/>
        <v>OK</v>
      </c>
      <c r="AD27" s="8">
        <v>100</v>
      </c>
      <c r="AE27" s="8"/>
      <c r="AF27" s="8">
        <v>89</v>
      </c>
      <c r="AG27" s="8">
        <v>100</v>
      </c>
      <c r="AH27" s="8"/>
      <c r="AI27" s="16">
        <f t="shared" si="8"/>
        <v>96.333333333333329</v>
      </c>
      <c r="AJ27" s="13">
        <f t="shared" si="9"/>
        <v>14.45</v>
      </c>
      <c r="AK27" s="8">
        <v>100</v>
      </c>
      <c r="AL27" s="8">
        <v>100</v>
      </c>
      <c r="AM27" s="8">
        <v>100</v>
      </c>
      <c r="AN27" s="8"/>
      <c r="AO27" s="8"/>
      <c r="AP27" s="8"/>
      <c r="AQ27" s="16">
        <f t="shared" si="10"/>
        <v>100</v>
      </c>
      <c r="AR27" s="13">
        <f t="shared" si="11"/>
        <v>25</v>
      </c>
      <c r="AS27" s="8">
        <v>100</v>
      </c>
      <c r="AT27" s="8">
        <v>100</v>
      </c>
      <c r="AU27" s="8">
        <v>89</v>
      </c>
      <c r="AV27" s="8">
        <v>0</v>
      </c>
      <c r="AW27" s="8"/>
      <c r="AX27" s="16">
        <f t="shared" si="12"/>
        <v>72.25</v>
      </c>
      <c r="AY27" s="13">
        <f t="shared" si="13"/>
        <v>7.2250000000000005</v>
      </c>
      <c r="AZ27" s="8">
        <v>39</v>
      </c>
      <c r="BA27" s="13">
        <f t="shared" si="19"/>
        <v>15.600000000000001</v>
      </c>
      <c r="BB27" s="13">
        <v>4</v>
      </c>
      <c r="BC27" s="8"/>
      <c r="BD27" s="13" t="str">
        <f t="shared" si="14"/>
        <v/>
      </c>
      <c r="BE27" s="8"/>
      <c r="BF27" s="13" t="str">
        <f t="shared" si="15"/>
        <v/>
      </c>
      <c r="BG27" s="14">
        <f t="shared" si="16"/>
        <v>68.108333333333334</v>
      </c>
      <c r="BH27" s="15" t="str">
        <f t="shared" si="17"/>
        <v>C+</v>
      </c>
      <c r="BI27" s="15" t="str">
        <f t="shared" si="18"/>
        <v>PASS</v>
      </c>
    </row>
    <row r="28" spans="1:61" ht="16" customHeight="1" x14ac:dyDescent="0.2">
      <c r="A28" s="6">
        <v>14</v>
      </c>
      <c r="B28" s="6" t="s">
        <v>279</v>
      </c>
      <c r="C28" s="7" t="s">
        <v>280</v>
      </c>
      <c r="D28" s="6" t="s">
        <v>447</v>
      </c>
      <c r="E28" s="8" t="s">
        <v>362</v>
      </c>
      <c r="F28" s="8" t="s">
        <v>364</v>
      </c>
      <c r="G28" s="8" t="s">
        <v>362</v>
      </c>
      <c r="H28" s="8" t="s">
        <v>467</v>
      </c>
      <c r="I28" s="8" t="s">
        <v>467</v>
      </c>
      <c r="J28" s="8" t="s">
        <v>467</v>
      </c>
      <c r="K28" s="8" t="s">
        <v>362</v>
      </c>
      <c r="L28" s="8" t="s">
        <v>364</v>
      </c>
      <c r="M28" s="33"/>
      <c r="N28" s="8" t="s">
        <v>362</v>
      </c>
      <c r="O28" s="8" t="s">
        <v>362</v>
      </c>
      <c r="P28" s="8" t="s">
        <v>362</v>
      </c>
      <c r="Q28" s="8"/>
      <c r="R28" s="8"/>
      <c r="S28" s="8"/>
      <c r="T28" s="8"/>
      <c r="U28" s="33"/>
      <c r="V28" s="9">
        <f t="shared" si="0"/>
        <v>6</v>
      </c>
      <c r="W28" s="9">
        <f t="shared" si="1"/>
        <v>2</v>
      </c>
      <c r="X28" s="9">
        <f t="shared" si="2"/>
        <v>0</v>
      </c>
      <c r="Y28" s="9">
        <f t="shared" si="3"/>
        <v>3</v>
      </c>
      <c r="Z28" s="9">
        <f t="shared" si="4"/>
        <v>12</v>
      </c>
      <c r="AA28" s="10">
        <f t="shared" si="5"/>
        <v>0.5</v>
      </c>
      <c r="AB28" s="11">
        <f t="shared" si="6"/>
        <v>5</v>
      </c>
      <c r="AC28" s="12" t="str">
        <f t="shared" si="7"/>
        <v>OK</v>
      </c>
      <c r="AD28" s="8">
        <v>100</v>
      </c>
      <c r="AE28" s="8"/>
      <c r="AF28" s="8">
        <v>0</v>
      </c>
      <c r="AG28" s="8">
        <v>0</v>
      </c>
      <c r="AH28" s="8"/>
      <c r="AI28" s="16">
        <f t="shared" si="8"/>
        <v>33.333333333333336</v>
      </c>
      <c r="AJ28" s="13">
        <f t="shared" si="9"/>
        <v>5.0000000000000009</v>
      </c>
      <c r="AK28" s="8">
        <v>100</v>
      </c>
      <c r="AL28" s="8">
        <v>0</v>
      </c>
      <c r="AM28" s="8">
        <v>100</v>
      </c>
      <c r="AN28" s="8"/>
      <c r="AO28" s="8"/>
      <c r="AP28" s="8"/>
      <c r="AQ28" s="16">
        <f t="shared" si="10"/>
        <v>66.666666666666671</v>
      </c>
      <c r="AR28" s="13">
        <f t="shared" si="11"/>
        <v>16.666666666666668</v>
      </c>
      <c r="AS28" s="8">
        <v>100</v>
      </c>
      <c r="AT28" s="8">
        <v>100</v>
      </c>
      <c r="AU28" s="8">
        <v>0</v>
      </c>
      <c r="AV28" s="8">
        <v>100</v>
      </c>
      <c r="AW28" s="8"/>
      <c r="AX28" s="16">
        <f t="shared" si="12"/>
        <v>75</v>
      </c>
      <c r="AY28" s="13">
        <f t="shared" si="13"/>
        <v>7.5</v>
      </c>
      <c r="AZ28" s="8">
        <v>48</v>
      </c>
      <c r="BA28" s="13">
        <f t="shared" si="19"/>
        <v>19.2</v>
      </c>
      <c r="BB28" s="13">
        <v>2</v>
      </c>
      <c r="BC28" s="8"/>
      <c r="BD28" s="13" t="str">
        <f t="shared" si="14"/>
        <v/>
      </c>
      <c r="BE28" s="8"/>
      <c r="BF28" s="13" t="str">
        <f t="shared" si="15"/>
        <v/>
      </c>
      <c r="BG28" s="14">
        <f t="shared" si="16"/>
        <v>53.366666666666674</v>
      </c>
      <c r="BH28" s="15" t="str">
        <f t="shared" si="17"/>
        <v>D</v>
      </c>
      <c r="BI28" s="15" t="str">
        <f t="shared" si="18"/>
        <v>PASS</v>
      </c>
    </row>
    <row r="29" spans="1:61" ht="16" customHeight="1" x14ac:dyDescent="0.2">
      <c r="A29" s="6">
        <v>15</v>
      </c>
      <c r="B29" s="6" t="s">
        <v>281</v>
      </c>
      <c r="C29" s="7" t="s">
        <v>282</v>
      </c>
      <c r="D29" s="6" t="s">
        <v>448</v>
      </c>
      <c r="E29" s="8" t="s">
        <v>362</v>
      </c>
      <c r="F29" s="8" t="s">
        <v>362</v>
      </c>
      <c r="G29" s="8" t="s">
        <v>362</v>
      </c>
      <c r="H29" s="8" t="s">
        <v>467</v>
      </c>
      <c r="I29" s="8" t="s">
        <v>467</v>
      </c>
      <c r="J29" s="8" t="s">
        <v>467</v>
      </c>
      <c r="K29" s="8" t="s">
        <v>362</v>
      </c>
      <c r="L29" s="8" t="s">
        <v>364</v>
      </c>
      <c r="M29" s="33"/>
      <c r="N29" s="8" t="s">
        <v>362</v>
      </c>
      <c r="O29" s="8" t="s">
        <v>362</v>
      </c>
      <c r="P29" s="8" t="s">
        <v>362</v>
      </c>
      <c r="Q29" s="8"/>
      <c r="R29" s="8"/>
      <c r="S29" s="8"/>
      <c r="T29" s="8"/>
      <c r="U29" s="33"/>
      <c r="V29" s="9">
        <f t="shared" si="0"/>
        <v>7</v>
      </c>
      <c r="W29" s="9">
        <f t="shared" si="1"/>
        <v>1</v>
      </c>
      <c r="X29" s="9">
        <f t="shared" si="2"/>
        <v>0</v>
      </c>
      <c r="Y29" s="9">
        <f t="shared" si="3"/>
        <v>3</v>
      </c>
      <c r="Z29" s="9">
        <f t="shared" si="4"/>
        <v>12</v>
      </c>
      <c r="AA29" s="10">
        <f t="shared" si="5"/>
        <v>0.58333333333333337</v>
      </c>
      <c r="AB29" s="11">
        <f t="shared" si="6"/>
        <v>5.8333333333333339</v>
      </c>
      <c r="AC29" s="12" t="str">
        <f t="shared" si="7"/>
        <v>OK</v>
      </c>
      <c r="AD29" s="8">
        <v>100</v>
      </c>
      <c r="AE29" s="8"/>
      <c r="AF29" s="8">
        <v>89</v>
      </c>
      <c r="AG29" s="8">
        <v>0</v>
      </c>
      <c r="AH29" s="8"/>
      <c r="AI29" s="16">
        <f t="shared" si="8"/>
        <v>63</v>
      </c>
      <c r="AJ29" s="13">
        <f t="shared" si="9"/>
        <v>9.4499999999999993</v>
      </c>
      <c r="AK29" s="8">
        <v>100</v>
      </c>
      <c r="AL29" s="8">
        <v>100</v>
      </c>
      <c r="AM29" s="8">
        <v>100</v>
      </c>
      <c r="AN29" s="8"/>
      <c r="AO29" s="8"/>
      <c r="AP29" s="8"/>
      <c r="AQ29" s="16">
        <f t="shared" si="10"/>
        <v>100</v>
      </c>
      <c r="AR29" s="13">
        <f t="shared" si="11"/>
        <v>25</v>
      </c>
      <c r="AS29" s="8">
        <v>100</v>
      </c>
      <c r="AT29" s="8">
        <v>100</v>
      </c>
      <c r="AU29" s="8">
        <v>89</v>
      </c>
      <c r="AV29" s="8">
        <v>100</v>
      </c>
      <c r="AW29" s="8"/>
      <c r="AX29" s="16">
        <f t="shared" si="12"/>
        <v>97.25</v>
      </c>
      <c r="AY29" s="13">
        <f t="shared" si="13"/>
        <v>9.7249999999999996</v>
      </c>
      <c r="AZ29" s="8">
        <v>47</v>
      </c>
      <c r="BA29" s="13">
        <f t="shared" si="19"/>
        <v>18.799999999999997</v>
      </c>
      <c r="BB29" s="13">
        <v>1</v>
      </c>
      <c r="BC29" s="8"/>
      <c r="BD29" s="13" t="str">
        <f t="shared" si="14"/>
        <v/>
      </c>
      <c r="BE29" s="8"/>
      <c r="BF29" s="13" t="str">
        <f t="shared" si="15"/>
        <v/>
      </c>
      <c r="BG29" s="14">
        <f t="shared" si="16"/>
        <v>68.808333333333337</v>
      </c>
      <c r="BH29" s="15" t="str">
        <f t="shared" si="17"/>
        <v>C+</v>
      </c>
      <c r="BI29" s="15" t="str">
        <f t="shared" si="18"/>
        <v>PASS</v>
      </c>
    </row>
    <row r="30" spans="1:61" ht="16" customHeight="1" x14ac:dyDescent="0.2">
      <c r="A30" s="6">
        <v>16</v>
      </c>
      <c r="B30" s="6" t="s">
        <v>283</v>
      </c>
      <c r="C30" s="7" t="s">
        <v>284</v>
      </c>
      <c r="D30" s="6" t="s">
        <v>511</v>
      </c>
      <c r="E30" s="8" t="s">
        <v>362</v>
      </c>
      <c r="F30" s="8" t="s">
        <v>364</v>
      </c>
      <c r="G30" s="8" t="s">
        <v>362</v>
      </c>
      <c r="H30" s="8" t="s">
        <v>467</v>
      </c>
      <c r="I30" s="8" t="s">
        <v>467</v>
      </c>
      <c r="J30" s="8" t="s">
        <v>467</v>
      </c>
      <c r="K30" s="8" t="s">
        <v>362</v>
      </c>
      <c r="L30" s="8" t="s">
        <v>362</v>
      </c>
      <c r="M30" s="33"/>
      <c r="N30" s="8" t="s">
        <v>362</v>
      </c>
      <c r="O30" s="8" t="s">
        <v>403</v>
      </c>
      <c r="P30" s="8" t="s">
        <v>362</v>
      </c>
      <c r="Q30" s="8"/>
      <c r="R30" s="8"/>
      <c r="S30" s="8"/>
      <c r="T30" s="8"/>
      <c r="U30" s="33"/>
      <c r="V30" s="9">
        <f t="shared" si="0"/>
        <v>6</v>
      </c>
      <c r="W30" s="9">
        <f t="shared" si="1"/>
        <v>1</v>
      </c>
      <c r="X30" s="9">
        <f t="shared" si="2"/>
        <v>1</v>
      </c>
      <c r="Y30" s="9">
        <f t="shared" si="3"/>
        <v>3</v>
      </c>
      <c r="Z30" s="9">
        <f t="shared" si="4"/>
        <v>12</v>
      </c>
      <c r="AA30" s="10">
        <f t="shared" si="5"/>
        <v>0.58333333333333337</v>
      </c>
      <c r="AB30" s="11">
        <f t="shared" si="6"/>
        <v>5.8333333333333339</v>
      </c>
      <c r="AC30" s="12" t="str">
        <f t="shared" si="7"/>
        <v>OK</v>
      </c>
      <c r="AD30" s="8">
        <v>100</v>
      </c>
      <c r="AE30" s="8"/>
      <c r="AF30" s="8">
        <v>0</v>
      </c>
      <c r="AG30" s="8">
        <v>100</v>
      </c>
      <c r="AH30" s="8"/>
      <c r="AI30" s="16">
        <f t="shared" si="8"/>
        <v>66.666666666666671</v>
      </c>
      <c r="AJ30" s="13">
        <f t="shared" si="9"/>
        <v>10.000000000000002</v>
      </c>
      <c r="AK30" s="8">
        <v>100</v>
      </c>
      <c r="AL30" s="8">
        <v>0</v>
      </c>
      <c r="AM30" s="8">
        <v>100</v>
      </c>
      <c r="AN30" s="8"/>
      <c r="AO30" s="8"/>
      <c r="AP30" s="8"/>
      <c r="AQ30" s="16">
        <f t="shared" si="10"/>
        <v>66.666666666666671</v>
      </c>
      <c r="AR30" s="13">
        <f t="shared" si="11"/>
        <v>16.666666666666668</v>
      </c>
      <c r="AS30" s="8">
        <v>100</v>
      </c>
      <c r="AT30" s="8">
        <v>100</v>
      </c>
      <c r="AU30" s="8">
        <v>0</v>
      </c>
      <c r="AV30" s="8">
        <v>100</v>
      </c>
      <c r="AW30" s="8"/>
      <c r="AX30" s="16">
        <f t="shared" si="12"/>
        <v>75</v>
      </c>
      <c r="AY30" s="13">
        <f t="shared" si="13"/>
        <v>7.5</v>
      </c>
      <c r="AZ30" s="8">
        <v>29</v>
      </c>
      <c r="BA30" s="13">
        <f t="shared" si="19"/>
        <v>11.6</v>
      </c>
      <c r="BB30" s="13">
        <v>4</v>
      </c>
      <c r="BC30" s="8"/>
      <c r="BD30" s="13" t="str">
        <f t="shared" si="14"/>
        <v/>
      </c>
      <c r="BE30" s="8"/>
      <c r="BF30" s="13" t="str">
        <f t="shared" si="15"/>
        <v/>
      </c>
      <c r="BG30" s="14">
        <f t="shared" si="16"/>
        <v>51.6</v>
      </c>
      <c r="BH30" s="15" t="str">
        <f t="shared" si="17"/>
        <v>D</v>
      </c>
      <c r="BI30" s="15" t="str">
        <f t="shared" si="18"/>
        <v>PASS</v>
      </c>
    </row>
    <row r="31" spans="1:61" ht="16" customHeight="1" x14ac:dyDescent="0.2">
      <c r="A31" s="6">
        <v>17</v>
      </c>
      <c r="B31" s="6" t="s">
        <v>285</v>
      </c>
      <c r="C31" s="7" t="s">
        <v>286</v>
      </c>
      <c r="D31" s="6" t="s">
        <v>434</v>
      </c>
      <c r="E31" s="8" t="s">
        <v>362</v>
      </c>
      <c r="F31" s="8" t="s">
        <v>362</v>
      </c>
      <c r="G31" s="8" t="s">
        <v>362</v>
      </c>
      <c r="H31" s="8" t="s">
        <v>467</v>
      </c>
      <c r="I31" s="8" t="s">
        <v>467</v>
      </c>
      <c r="J31" s="8" t="s">
        <v>467</v>
      </c>
      <c r="K31" s="8" t="s">
        <v>364</v>
      </c>
      <c r="L31" s="8" t="s">
        <v>362</v>
      </c>
      <c r="M31" s="33"/>
      <c r="N31" s="8" t="s">
        <v>362</v>
      </c>
      <c r="O31" s="8" t="s">
        <v>362</v>
      </c>
      <c r="P31" s="8" t="s">
        <v>364</v>
      </c>
      <c r="Q31" s="8"/>
      <c r="R31" s="8"/>
      <c r="S31" s="8"/>
      <c r="T31" s="8"/>
      <c r="U31" s="33"/>
      <c r="V31" s="9">
        <f t="shared" si="0"/>
        <v>6</v>
      </c>
      <c r="W31" s="9">
        <f t="shared" si="1"/>
        <v>2</v>
      </c>
      <c r="X31" s="9">
        <f t="shared" si="2"/>
        <v>0</v>
      </c>
      <c r="Y31" s="9">
        <f t="shared" si="3"/>
        <v>3</v>
      </c>
      <c r="Z31" s="9">
        <f t="shared" si="4"/>
        <v>12</v>
      </c>
      <c r="AA31" s="10">
        <f t="shared" si="5"/>
        <v>0.5</v>
      </c>
      <c r="AB31" s="11">
        <f t="shared" si="6"/>
        <v>5</v>
      </c>
      <c r="AC31" s="12" t="str">
        <f t="shared" si="7"/>
        <v>OK</v>
      </c>
      <c r="AD31" s="8">
        <v>100</v>
      </c>
      <c r="AE31" s="8"/>
      <c r="AF31" s="8">
        <v>0</v>
      </c>
      <c r="AG31" s="8">
        <v>95</v>
      </c>
      <c r="AH31" s="8"/>
      <c r="AI31" s="16">
        <f t="shared" si="8"/>
        <v>65</v>
      </c>
      <c r="AJ31" s="13">
        <f t="shared" si="9"/>
        <v>9.75</v>
      </c>
      <c r="AK31" s="8">
        <v>100</v>
      </c>
      <c r="AL31" s="8">
        <v>100</v>
      </c>
      <c r="AM31" s="8">
        <v>0</v>
      </c>
      <c r="AN31" s="8"/>
      <c r="AO31" s="8"/>
      <c r="AP31" s="8"/>
      <c r="AQ31" s="16">
        <f t="shared" si="10"/>
        <v>66.666666666666671</v>
      </c>
      <c r="AR31" s="13">
        <f t="shared" si="11"/>
        <v>16.666666666666668</v>
      </c>
      <c r="AS31" s="8">
        <v>100</v>
      </c>
      <c r="AT31" s="8">
        <v>100</v>
      </c>
      <c r="AU31" s="8">
        <v>0</v>
      </c>
      <c r="AV31" s="8">
        <v>0</v>
      </c>
      <c r="AW31" s="8"/>
      <c r="AX31" s="16">
        <f t="shared" si="12"/>
        <v>50</v>
      </c>
      <c r="AY31" s="13">
        <f t="shared" si="13"/>
        <v>5</v>
      </c>
      <c r="AZ31" s="8">
        <v>48</v>
      </c>
      <c r="BA31" s="13">
        <f t="shared" si="19"/>
        <v>19.2</v>
      </c>
      <c r="BB31" s="13"/>
      <c r="BC31" s="8"/>
      <c r="BD31" s="13" t="str">
        <f t="shared" si="14"/>
        <v/>
      </c>
      <c r="BE31" s="8"/>
      <c r="BF31" s="13" t="str">
        <f t="shared" si="15"/>
        <v/>
      </c>
      <c r="BG31" s="14">
        <f t="shared" si="16"/>
        <v>55.616666666666674</v>
      </c>
      <c r="BH31" s="15" t="str">
        <f t="shared" si="17"/>
        <v>D+</v>
      </c>
      <c r="BI31" s="15" t="str">
        <f t="shared" si="18"/>
        <v>PASS</v>
      </c>
    </row>
    <row r="32" spans="1:61" ht="16" customHeight="1" x14ac:dyDescent="0.2">
      <c r="A32" s="6">
        <v>18</v>
      </c>
      <c r="B32" s="6" t="s">
        <v>287</v>
      </c>
      <c r="C32" s="7" t="s">
        <v>288</v>
      </c>
      <c r="D32" s="6" t="s">
        <v>463</v>
      </c>
      <c r="E32" s="8" t="s">
        <v>362</v>
      </c>
      <c r="F32" s="8" t="s">
        <v>364</v>
      </c>
      <c r="G32" s="8" t="s">
        <v>362</v>
      </c>
      <c r="H32" s="8" t="s">
        <v>467</v>
      </c>
      <c r="I32" s="8" t="s">
        <v>467</v>
      </c>
      <c r="J32" s="8" t="s">
        <v>467</v>
      </c>
      <c r="K32" s="8" t="s">
        <v>364</v>
      </c>
      <c r="L32" s="8" t="s">
        <v>362</v>
      </c>
      <c r="M32" s="33"/>
      <c r="N32" s="8" t="s">
        <v>362</v>
      </c>
      <c r="O32" s="8" t="s">
        <v>364</v>
      </c>
      <c r="P32" s="8" t="s">
        <v>362</v>
      </c>
      <c r="Q32" s="8"/>
      <c r="R32" s="8"/>
      <c r="S32" s="8"/>
      <c r="T32" s="8"/>
      <c r="U32" s="33"/>
      <c r="V32" s="9">
        <f t="shared" si="0"/>
        <v>5</v>
      </c>
      <c r="W32" s="9">
        <f t="shared" si="1"/>
        <v>3</v>
      </c>
      <c r="X32" s="9">
        <f t="shared" si="2"/>
        <v>0</v>
      </c>
      <c r="Y32" s="9">
        <f t="shared" si="3"/>
        <v>3</v>
      </c>
      <c r="Z32" s="9">
        <f t="shared" si="4"/>
        <v>12</v>
      </c>
      <c r="AA32" s="10">
        <f t="shared" si="5"/>
        <v>0.41666666666666669</v>
      </c>
      <c r="AB32" s="11">
        <f t="shared" si="6"/>
        <v>4.166666666666667</v>
      </c>
      <c r="AC32" s="12" t="str">
        <f t="shared" si="7"/>
        <v>WARNING: 3 absences</v>
      </c>
      <c r="AD32" s="8">
        <v>100</v>
      </c>
      <c r="AE32" s="8"/>
      <c r="AF32" s="8">
        <v>0</v>
      </c>
      <c r="AG32" s="8">
        <v>95</v>
      </c>
      <c r="AH32" s="8"/>
      <c r="AI32" s="16">
        <f t="shared" si="8"/>
        <v>65</v>
      </c>
      <c r="AJ32" s="13">
        <f t="shared" si="9"/>
        <v>9.75</v>
      </c>
      <c r="AK32" s="8">
        <v>100</v>
      </c>
      <c r="AL32" s="8">
        <v>0</v>
      </c>
      <c r="AM32" s="8">
        <v>0</v>
      </c>
      <c r="AN32" s="8"/>
      <c r="AO32" s="8"/>
      <c r="AP32" s="8">
        <v>100</v>
      </c>
      <c r="AQ32" s="16">
        <f t="shared" si="10"/>
        <v>50</v>
      </c>
      <c r="AR32" s="13">
        <f t="shared" si="11"/>
        <v>12.5</v>
      </c>
      <c r="AS32" s="8">
        <v>100</v>
      </c>
      <c r="AT32" s="8">
        <v>100</v>
      </c>
      <c r="AU32" s="8">
        <v>0</v>
      </c>
      <c r="AV32" s="8">
        <v>100</v>
      </c>
      <c r="AW32" s="8"/>
      <c r="AX32" s="16">
        <f t="shared" si="12"/>
        <v>75</v>
      </c>
      <c r="AY32" s="13">
        <f t="shared" si="13"/>
        <v>7.5</v>
      </c>
      <c r="AZ32" s="8">
        <v>44</v>
      </c>
      <c r="BA32" s="13">
        <f t="shared" si="19"/>
        <v>17.600000000000001</v>
      </c>
      <c r="BB32" s="13">
        <v>1</v>
      </c>
      <c r="BC32" s="8"/>
      <c r="BD32" s="13" t="str">
        <f t="shared" si="14"/>
        <v/>
      </c>
      <c r="BE32" s="8"/>
      <c r="BF32" s="13" t="str">
        <f t="shared" si="15"/>
        <v/>
      </c>
      <c r="BG32" s="14">
        <f t="shared" si="16"/>
        <v>51.516666666666673</v>
      </c>
      <c r="BH32" s="15" t="str">
        <f t="shared" si="17"/>
        <v>D</v>
      </c>
      <c r="BI32" s="15" t="str">
        <f t="shared" si="18"/>
        <v>PASS</v>
      </c>
    </row>
    <row r="33" spans="1:61" ht="16" customHeight="1" x14ac:dyDescent="0.2">
      <c r="A33" s="6">
        <v>19</v>
      </c>
      <c r="B33" s="6" t="s">
        <v>289</v>
      </c>
      <c r="C33" s="7" t="s">
        <v>290</v>
      </c>
      <c r="D33" s="6" t="s">
        <v>464</v>
      </c>
      <c r="E33" s="8" t="s">
        <v>362</v>
      </c>
      <c r="F33" s="8" t="s">
        <v>364</v>
      </c>
      <c r="G33" s="8" t="s">
        <v>362</v>
      </c>
      <c r="H33" s="8" t="s">
        <v>467</v>
      </c>
      <c r="I33" s="8" t="s">
        <v>467</v>
      </c>
      <c r="J33" s="8" t="s">
        <v>467</v>
      </c>
      <c r="K33" s="8" t="s">
        <v>364</v>
      </c>
      <c r="L33" s="8" t="s">
        <v>362</v>
      </c>
      <c r="M33" s="33"/>
      <c r="N33" s="8" t="s">
        <v>362</v>
      </c>
      <c r="O33" s="8" t="s">
        <v>364</v>
      </c>
      <c r="P33" s="8" t="s">
        <v>362</v>
      </c>
      <c r="Q33" s="8"/>
      <c r="R33" s="8"/>
      <c r="S33" s="8"/>
      <c r="T33" s="8"/>
      <c r="U33" s="33"/>
      <c r="V33" s="9">
        <f t="shared" si="0"/>
        <v>5</v>
      </c>
      <c r="W33" s="9">
        <f t="shared" si="1"/>
        <v>3</v>
      </c>
      <c r="X33" s="9">
        <f t="shared" si="2"/>
        <v>0</v>
      </c>
      <c r="Y33" s="9">
        <f t="shared" si="3"/>
        <v>3</v>
      </c>
      <c r="Z33" s="9">
        <f t="shared" si="4"/>
        <v>12</v>
      </c>
      <c r="AA33" s="10">
        <f t="shared" si="5"/>
        <v>0.41666666666666669</v>
      </c>
      <c r="AB33" s="11">
        <f t="shared" si="6"/>
        <v>4.166666666666667</v>
      </c>
      <c r="AC33" s="12" t="str">
        <f t="shared" si="7"/>
        <v>WARNING: 3 absences</v>
      </c>
      <c r="AD33" s="8">
        <v>100</v>
      </c>
      <c r="AE33" s="8"/>
      <c r="AF33" s="8">
        <v>0</v>
      </c>
      <c r="AG33" s="8">
        <v>95</v>
      </c>
      <c r="AH33" s="8"/>
      <c r="AI33" s="16">
        <f t="shared" si="8"/>
        <v>65</v>
      </c>
      <c r="AJ33" s="13">
        <f t="shared" si="9"/>
        <v>9.75</v>
      </c>
      <c r="AK33" s="8">
        <v>100</v>
      </c>
      <c r="AL33" s="8">
        <v>0</v>
      </c>
      <c r="AM33" s="8">
        <v>0</v>
      </c>
      <c r="AN33" s="8"/>
      <c r="AO33" s="8"/>
      <c r="AP33" s="8">
        <v>100</v>
      </c>
      <c r="AQ33" s="16">
        <f t="shared" si="10"/>
        <v>50</v>
      </c>
      <c r="AR33" s="13">
        <f t="shared" si="11"/>
        <v>12.5</v>
      </c>
      <c r="AS33" s="8">
        <v>100</v>
      </c>
      <c r="AT33" s="8">
        <v>100</v>
      </c>
      <c r="AU33" s="8">
        <v>0</v>
      </c>
      <c r="AV33" s="8">
        <v>100</v>
      </c>
      <c r="AW33" s="8"/>
      <c r="AX33" s="16">
        <f t="shared" si="12"/>
        <v>75</v>
      </c>
      <c r="AY33" s="13">
        <f t="shared" si="13"/>
        <v>7.5</v>
      </c>
      <c r="AZ33" s="8">
        <v>33</v>
      </c>
      <c r="BA33" s="13">
        <f t="shared" si="19"/>
        <v>13.200000000000001</v>
      </c>
      <c r="BB33" s="13">
        <v>1</v>
      </c>
      <c r="BC33" s="8"/>
      <c r="BD33" s="13" t="str">
        <f t="shared" si="14"/>
        <v/>
      </c>
      <c r="BE33" s="8"/>
      <c r="BF33" s="13" t="str">
        <f t="shared" si="15"/>
        <v/>
      </c>
      <c r="BG33" s="14">
        <f t="shared" si="16"/>
        <v>47.116666666666674</v>
      </c>
      <c r="BH33" s="15" t="str">
        <f t="shared" si="17"/>
        <v>E/F</v>
      </c>
      <c r="BI33" s="15" t="str">
        <f t="shared" si="18"/>
        <v>NOT PASS</v>
      </c>
    </row>
    <row r="34" spans="1:61" ht="16" customHeight="1" x14ac:dyDescent="0.2">
      <c r="A34" s="6">
        <v>20</v>
      </c>
      <c r="B34" s="6" t="s">
        <v>291</v>
      </c>
      <c r="C34" s="7" t="s">
        <v>292</v>
      </c>
      <c r="D34" s="6" t="s">
        <v>463</v>
      </c>
      <c r="E34" s="8" t="s">
        <v>362</v>
      </c>
      <c r="F34" s="8" t="s">
        <v>362</v>
      </c>
      <c r="G34" s="8" t="s">
        <v>364</v>
      </c>
      <c r="H34" s="8" t="s">
        <v>467</v>
      </c>
      <c r="I34" s="8" t="s">
        <v>467</v>
      </c>
      <c r="J34" s="8" t="s">
        <v>467</v>
      </c>
      <c r="K34" s="8" t="s">
        <v>362</v>
      </c>
      <c r="L34" s="8" t="s">
        <v>362</v>
      </c>
      <c r="M34" s="33"/>
      <c r="N34" s="8" t="s">
        <v>403</v>
      </c>
      <c r="O34" s="8" t="s">
        <v>362</v>
      </c>
      <c r="P34" s="8" t="s">
        <v>362</v>
      </c>
      <c r="Q34" s="8"/>
      <c r="R34" s="8"/>
      <c r="S34" s="8"/>
      <c r="T34" s="8"/>
      <c r="U34" s="33"/>
      <c r="V34" s="9">
        <f t="shared" si="0"/>
        <v>6</v>
      </c>
      <c r="W34" s="9">
        <f t="shared" si="1"/>
        <v>1</v>
      </c>
      <c r="X34" s="9">
        <f t="shared" si="2"/>
        <v>1</v>
      </c>
      <c r="Y34" s="9">
        <f t="shared" si="3"/>
        <v>3</v>
      </c>
      <c r="Z34" s="9">
        <f t="shared" si="4"/>
        <v>12</v>
      </c>
      <c r="AA34" s="10">
        <f t="shared" si="5"/>
        <v>0.58333333333333337</v>
      </c>
      <c r="AB34" s="11">
        <f t="shared" si="6"/>
        <v>5.8333333333333339</v>
      </c>
      <c r="AC34" s="12" t="str">
        <f t="shared" si="7"/>
        <v>OK</v>
      </c>
      <c r="AD34" s="8">
        <v>100</v>
      </c>
      <c r="AE34" s="8"/>
      <c r="AF34" s="8">
        <v>0</v>
      </c>
      <c r="AG34" s="8">
        <v>95</v>
      </c>
      <c r="AH34" s="8"/>
      <c r="AI34" s="16">
        <f t="shared" si="8"/>
        <v>65</v>
      </c>
      <c r="AJ34" s="13">
        <f t="shared" si="9"/>
        <v>9.75</v>
      </c>
      <c r="AK34" s="8">
        <v>100</v>
      </c>
      <c r="AL34" s="8">
        <v>100</v>
      </c>
      <c r="AM34" s="8">
        <v>100</v>
      </c>
      <c r="AN34" s="8"/>
      <c r="AO34" s="8"/>
      <c r="AP34" s="8"/>
      <c r="AQ34" s="16">
        <f t="shared" si="10"/>
        <v>100</v>
      </c>
      <c r="AR34" s="13">
        <f t="shared" si="11"/>
        <v>25</v>
      </c>
      <c r="AS34" s="8">
        <v>100</v>
      </c>
      <c r="AT34" s="8">
        <v>0</v>
      </c>
      <c r="AU34" s="8">
        <v>0</v>
      </c>
      <c r="AV34" s="8">
        <v>100</v>
      </c>
      <c r="AW34" s="8"/>
      <c r="AX34" s="16">
        <f t="shared" si="12"/>
        <v>50</v>
      </c>
      <c r="AY34" s="13">
        <f t="shared" si="13"/>
        <v>5</v>
      </c>
      <c r="AZ34" s="8">
        <v>41</v>
      </c>
      <c r="BA34" s="13">
        <f t="shared" si="19"/>
        <v>16.399999999999999</v>
      </c>
      <c r="BB34" s="13">
        <v>4</v>
      </c>
      <c r="BC34" s="8"/>
      <c r="BD34" s="13" t="str">
        <f t="shared" si="14"/>
        <v/>
      </c>
      <c r="BE34" s="8"/>
      <c r="BF34" s="13" t="str">
        <f t="shared" si="15"/>
        <v/>
      </c>
      <c r="BG34" s="14">
        <f t="shared" si="16"/>
        <v>61.983333333333334</v>
      </c>
      <c r="BH34" s="15" t="str">
        <f t="shared" si="17"/>
        <v>C</v>
      </c>
      <c r="BI34" s="15" t="str">
        <f t="shared" si="18"/>
        <v>PASS</v>
      </c>
    </row>
    <row r="35" spans="1:61" ht="16" customHeight="1" x14ac:dyDescent="0.2">
      <c r="A35" s="6">
        <v>21</v>
      </c>
      <c r="B35" s="6" t="s">
        <v>293</v>
      </c>
      <c r="C35" s="7" t="s">
        <v>294</v>
      </c>
      <c r="D35" s="6" t="s">
        <v>429</v>
      </c>
      <c r="E35" s="8" t="s">
        <v>362</v>
      </c>
      <c r="F35" s="8" t="s">
        <v>362</v>
      </c>
      <c r="G35" s="8" t="s">
        <v>364</v>
      </c>
      <c r="H35" s="8" t="s">
        <v>467</v>
      </c>
      <c r="I35" s="8" t="s">
        <v>467</v>
      </c>
      <c r="J35" s="8" t="s">
        <v>467</v>
      </c>
      <c r="K35" s="8" t="s">
        <v>362</v>
      </c>
      <c r="L35" s="8" t="s">
        <v>362</v>
      </c>
      <c r="M35" s="33"/>
      <c r="N35" s="8" t="s">
        <v>403</v>
      </c>
      <c r="O35" s="8" t="s">
        <v>362</v>
      </c>
      <c r="P35" s="8" t="s">
        <v>362</v>
      </c>
      <c r="Q35" s="8"/>
      <c r="R35" s="8"/>
      <c r="S35" s="8"/>
      <c r="T35" s="8"/>
      <c r="U35" s="33"/>
      <c r="V35" s="9">
        <f t="shared" si="0"/>
        <v>6</v>
      </c>
      <c r="W35" s="9">
        <f t="shared" si="1"/>
        <v>1</v>
      </c>
      <c r="X35" s="9">
        <f t="shared" si="2"/>
        <v>1</v>
      </c>
      <c r="Y35" s="9">
        <f t="shared" si="3"/>
        <v>3</v>
      </c>
      <c r="Z35" s="9">
        <f t="shared" si="4"/>
        <v>12</v>
      </c>
      <c r="AA35" s="10">
        <f t="shared" si="5"/>
        <v>0.58333333333333337</v>
      </c>
      <c r="AB35" s="11">
        <f t="shared" si="6"/>
        <v>5.8333333333333339</v>
      </c>
      <c r="AC35" s="12" t="str">
        <f t="shared" si="7"/>
        <v>OK</v>
      </c>
      <c r="AD35" s="8">
        <v>100</v>
      </c>
      <c r="AE35" s="8"/>
      <c r="AF35" s="8">
        <v>0</v>
      </c>
      <c r="AG35" s="8">
        <v>100</v>
      </c>
      <c r="AH35" s="8"/>
      <c r="AI35" s="16">
        <f t="shared" si="8"/>
        <v>66.666666666666671</v>
      </c>
      <c r="AJ35" s="13">
        <f t="shared" si="9"/>
        <v>10.000000000000002</v>
      </c>
      <c r="AK35" s="8">
        <v>100</v>
      </c>
      <c r="AL35" s="8">
        <v>100</v>
      </c>
      <c r="AM35" s="8">
        <v>100</v>
      </c>
      <c r="AN35" s="8"/>
      <c r="AO35" s="8"/>
      <c r="AP35" s="8"/>
      <c r="AQ35" s="16">
        <f t="shared" si="10"/>
        <v>100</v>
      </c>
      <c r="AR35" s="13">
        <f t="shared" si="11"/>
        <v>25</v>
      </c>
      <c r="AS35" s="8">
        <v>100</v>
      </c>
      <c r="AT35" s="8">
        <v>0</v>
      </c>
      <c r="AU35" s="8">
        <v>0</v>
      </c>
      <c r="AV35" s="8">
        <v>100</v>
      </c>
      <c r="AW35" s="8"/>
      <c r="AX35" s="16">
        <f t="shared" si="12"/>
        <v>50</v>
      </c>
      <c r="AY35" s="13">
        <f t="shared" si="13"/>
        <v>5</v>
      </c>
      <c r="AZ35" s="8">
        <v>44</v>
      </c>
      <c r="BA35" s="13">
        <f t="shared" si="19"/>
        <v>17.600000000000001</v>
      </c>
      <c r="BB35" s="13">
        <v>4</v>
      </c>
      <c r="BC35" s="8"/>
      <c r="BD35" s="13" t="str">
        <f t="shared" si="14"/>
        <v/>
      </c>
      <c r="BE35" s="8"/>
      <c r="BF35" s="13" t="str">
        <f t="shared" si="15"/>
        <v/>
      </c>
      <c r="BG35" s="14">
        <f t="shared" si="16"/>
        <v>63.433333333333337</v>
      </c>
      <c r="BH35" s="15" t="str">
        <f t="shared" si="17"/>
        <v>C</v>
      </c>
      <c r="BI35" s="15" t="str">
        <f t="shared" si="18"/>
        <v>PASS</v>
      </c>
    </row>
    <row r="36" spans="1:61" ht="16" customHeight="1" x14ac:dyDescent="0.2">
      <c r="A36" s="6">
        <v>22</v>
      </c>
      <c r="B36" s="6" t="s">
        <v>295</v>
      </c>
      <c r="C36" s="7" t="s">
        <v>296</v>
      </c>
      <c r="D36" s="6" t="s">
        <v>504</v>
      </c>
      <c r="E36" s="8" t="s">
        <v>362</v>
      </c>
      <c r="F36" s="8" t="s">
        <v>362</v>
      </c>
      <c r="G36" s="8" t="s">
        <v>362</v>
      </c>
      <c r="H36" s="8" t="s">
        <v>467</v>
      </c>
      <c r="I36" s="8" t="s">
        <v>467</v>
      </c>
      <c r="J36" s="8" t="s">
        <v>467</v>
      </c>
      <c r="K36" s="8" t="s">
        <v>362</v>
      </c>
      <c r="L36" s="8" t="s">
        <v>362</v>
      </c>
      <c r="M36" s="33"/>
      <c r="N36" s="8" t="s">
        <v>362</v>
      </c>
      <c r="O36" s="8" t="s">
        <v>362</v>
      </c>
      <c r="P36" s="8" t="s">
        <v>364</v>
      </c>
      <c r="Q36" s="8"/>
      <c r="R36" s="8"/>
      <c r="S36" s="8"/>
      <c r="T36" s="8"/>
      <c r="U36" s="33"/>
      <c r="V36" s="9">
        <f t="shared" si="0"/>
        <v>7</v>
      </c>
      <c r="W36" s="9">
        <f t="shared" si="1"/>
        <v>1</v>
      </c>
      <c r="X36" s="9">
        <f t="shared" si="2"/>
        <v>0</v>
      </c>
      <c r="Y36" s="9">
        <f t="shared" si="3"/>
        <v>3</v>
      </c>
      <c r="Z36" s="9">
        <f t="shared" si="4"/>
        <v>12</v>
      </c>
      <c r="AA36" s="10">
        <f t="shared" si="5"/>
        <v>0.58333333333333337</v>
      </c>
      <c r="AB36" s="11">
        <f t="shared" si="6"/>
        <v>5.8333333333333339</v>
      </c>
      <c r="AC36" s="12" t="str">
        <f t="shared" si="7"/>
        <v>OK</v>
      </c>
      <c r="AD36" s="8">
        <v>100</v>
      </c>
      <c r="AE36" s="8"/>
      <c r="AF36" s="8">
        <v>0</v>
      </c>
      <c r="AG36" s="8">
        <v>90</v>
      </c>
      <c r="AH36" s="8"/>
      <c r="AI36" s="16">
        <f t="shared" si="8"/>
        <v>63.333333333333336</v>
      </c>
      <c r="AJ36" s="13">
        <f t="shared" si="9"/>
        <v>9.5</v>
      </c>
      <c r="AK36" s="8">
        <v>100</v>
      </c>
      <c r="AL36" s="8">
        <v>100</v>
      </c>
      <c r="AM36" s="8">
        <v>100</v>
      </c>
      <c r="AN36" s="8"/>
      <c r="AO36" s="8"/>
      <c r="AP36" s="8"/>
      <c r="AQ36" s="16">
        <f t="shared" si="10"/>
        <v>100</v>
      </c>
      <c r="AR36" s="13">
        <f t="shared" si="11"/>
        <v>25</v>
      </c>
      <c r="AS36" s="8">
        <v>100</v>
      </c>
      <c r="AT36" s="8">
        <v>100</v>
      </c>
      <c r="AU36" s="8">
        <v>0</v>
      </c>
      <c r="AV36" s="8">
        <v>0</v>
      </c>
      <c r="AW36" s="8"/>
      <c r="AX36" s="16">
        <f t="shared" si="12"/>
        <v>50</v>
      </c>
      <c r="AY36" s="13">
        <f t="shared" si="13"/>
        <v>5</v>
      </c>
      <c r="AZ36" s="8">
        <v>37</v>
      </c>
      <c r="BA36" s="13">
        <f t="shared" si="19"/>
        <v>14.8</v>
      </c>
      <c r="BB36" s="13">
        <v>5</v>
      </c>
      <c r="BC36" s="8"/>
      <c r="BD36" s="13" t="str">
        <f t="shared" si="14"/>
        <v/>
      </c>
      <c r="BE36" s="8"/>
      <c r="BF36" s="13" t="str">
        <f t="shared" si="15"/>
        <v/>
      </c>
      <c r="BG36" s="14">
        <f t="shared" si="16"/>
        <v>60.13333333333334</v>
      </c>
      <c r="BH36" s="15" t="str">
        <f t="shared" si="17"/>
        <v>C</v>
      </c>
      <c r="BI36" s="15" t="str">
        <f t="shared" si="18"/>
        <v>PASS</v>
      </c>
    </row>
    <row r="37" spans="1:61" ht="16" customHeight="1" x14ac:dyDescent="0.2">
      <c r="A37" s="6">
        <v>23</v>
      </c>
      <c r="B37" s="6" t="s">
        <v>297</v>
      </c>
      <c r="C37" s="7" t="s">
        <v>298</v>
      </c>
      <c r="D37" s="6" t="s">
        <v>454</v>
      </c>
      <c r="E37" s="8" t="s">
        <v>362</v>
      </c>
      <c r="F37" s="8" t="s">
        <v>362</v>
      </c>
      <c r="G37" s="8" t="s">
        <v>362</v>
      </c>
      <c r="H37" s="8" t="s">
        <v>467</v>
      </c>
      <c r="I37" s="8" t="s">
        <v>467</v>
      </c>
      <c r="J37" s="8" t="s">
        <v>467</v>
      </c>
      <c r="K37" s="8" t="s">
        <v>362</v>
      </c>
      <c r="L37" s="8" t="s">
        <v>362</v>
      </c>
      <c r="M37" s="33"/>
      <c r="N37" s="8" t="s">
        <v>362</v>
      </c>
      <c r="O37" s="8" t="s">
        <v>362</v>
      </c>
      <c r="P37" s="8" t="s">
        <v>362</v>
      </c>
      <c r="Q37" s="8"/>
      <c r="R37" s="8"/>
      <c r="S37" s="8"/>
      <c r="T37" s="8"/>
      <c r="U37" s="33"/>
      <c r="V37" s="9">
        <f t="shared" si="0"/>
        <v>8</v>
      </c>
      <c r="W37" s="9">
        <f t="shared" si="1"/>
        <v>0</v>
      </c>
      <c r="X37" s="9">
        <f t="shared" si="2"/>
        <v>0</v>
      </c>
      <c r="Y37" s="9">
        <f t="shared" si="3"/>
        <v>3</v>
      </c>
      <c r="Z37" s="9">
        <f t="shared" si="4"/>
        <v>12</v>
      </c>
      <c r="AA37" s="10">
        <f t="shared" si="5"/>
        <v>0.66666666666666663</v>
      </c>
      <c r="AB37" s="11">
        <f t="shared" si="6"/>
        <v>6.6666666666666661</v>
      </c>
      <c r="AC37" s="12" t="str">
        <f t="shared" si="7"/>
        <v>OK</v>
      </c>
      <c r="AD37" s="8">
        <v>100</v>
      </c>
      <c r="AE37" s="8"/>
      <c r="AF37" s="8">
        <v>43</v>
      </c>
      <c r="AG37" s="8">
        <v>95</v>
      </c>
      <c r="AH37" s="8"/>
      <c r="AI37" s="16">
        <f t="shared" si="8"/>
        <v>79.333333333333329</v>
      </c>
      <c r="AJ37" s="13">
        <f t="shared" si="9"/>
        <v>11.9</v>
      </c>
      <c r="AK37" s="8">
        <v>100</v>
      </c>
      <c r="AL37" s="8">
        <v>100</v>
      </c>
      <c r="AM37" s="8">
        <v>100</v>
      </c>
      <c r="AN37" s="8"/>
      <c r="AO37" s="8"/>
      <c r="AP37" s="8">
        <v>100</v>
      </c>
      <c r="AQ37" s="16">
        <f t="shared" si="10"/>
        <v>100</v>
      </c>
      <c r="AR37" s="13">
        <f t="shared" si="11"/>
        <v>25</v>
      </c>
      <c r="AS37" s="8">
        <v>100</v>
      </c>
      <c r="AT37" s="8">
        <v>100</v>
      </c>
      <c r="AU37" s="8">
        <v>43</v>
      </c>
      <c r="AV37" s="8">
        <v>100</v>
      </c>
      <c r="AW37" s="8"/>
      <c r="AX37" s="16">
        <f t="shared" si="12"/>
        <v>85.75</v>
      </c>
      <c r="AY37" s="13">
        <f t="shared" si="13"/>
        <v>8.5750000000000011</v>
      </c>
      <c r="AZ37" s="8">
        <v>39</v>
      </c>
      <c r="BA37" s="13">
        <f t="shared" si="19"/>
        <v>15.600000000000001</v>
      </c>
      <c r="BB37" s="13">
        <v>1</v>
      </c>
      <c r="BC37" s="8"/>
      <c r="BD37" s="13" t="str">
        <f t="shared" si="14"/>
        <v/>
      </c>
      <c r="BE37" s="8"/>
      <c r="BF37" s="13" t="str">
        <f t="shared" si="15"/>
        <v/>
      </c>
      <c r="BG37" s="14">
        <f t="shared" si="16"/>
        <v>67.741666666666674</v>
      </c>
      <c r="BH37" s="15" t="str">
        <f t="shared" si="17"/>
        <v>C+</v>
      </c>
      <c r="BI37" s="15" t="str">
        <f t="shared" si="18"/>
        <v>PASS</v>
      </c>
    </row>
    <row r="38" spans="1:61" ht="16" customHeight="1" x14ac:dyDescent="0.2">
      <c r="A38" s="6">
        <v>24</v>
      </c>
      <c r="B38" s="6" t="s">
        <v>299</v>
      </c>
      <c r="C38" s="7" t="s">
        <v>300</v>
      </c>
      <c r="D38" s="6" t="s">
        <v>505</v>
      </c>
      <c r="E38" s="8" t="s">
        <v>362</v>
      </c>
      <c r="F38" s="8" t="s">
        <v>362</v>
      </c>
      <c r="G38" s="8" t="s">
        <v>362</v>
      </c>
      <c r="H38" s="8" t="s">
        <v>467</v>
      </c>
      <c r="I38" s="8" t="s">
        <v>467</v>
      </c>
      <c r="J38" s="8" t="s">
        <v>467</v>
      </c>
      <c r="K38" s="8" t="s">
        <v>362</v>
      </c>
      <c r="L38" s="8" t="s">
        <v>362</v>
      </c>
      <c r="M38" s="33"/>
      <c r="N38" s="8" t="s">
        <v>403</v>
      </c>
      <c r="O38" s="8" t="s">
        <v>362</v>
      </c>
      <c r="P38" s="8" t="s">
        <v>362</v>
      </c>
      <c r="Q38" s="8"/>
      <c r="R38" s="8"/>
      <c r="S38" s="8"/>
      <c r="T38" s="8"/>
      <c r="U38" s="33"/>
      <c r="V38" s="9">
        <f t="shared" si="0"/>
        <v>7</v>
      </c>
      <c r="W38" s="9">
        <f t="shared" si="1"/>
        <v>0</v>
      </c>
      <c r="X38" s="9">
        <f t="shared" si="2"/>
        <v>1</v>
      </c>
      <c r="Y38" s="9">
        <f t="shared" si="3"/>
        <v>3</v>
      </c>
      <c r="Z38" s="9">
        <f t="shared" si="4"/>
        <v>12</v>
      </c>
      <c r="AA38" s="10">
        <f t="shared" si="5"/>
        <v>0.66666666666666663</v>
      </c>
      <c r="AB38" s="11">
        <f t="shared" si="6"/>
        <v>6.6666666666666661</v>
      </c>
      <c r="AC38" s="12" t="str">
        <f t="shared" si="7"/>
        <v>OK</v>
      </c>
      <c r="AD38" s="8">
        <v>100</v>
      </c>
      <c r="AE38" s="8"/>
      <c r="AF38" s="8">
        <v>56</v>
      </c>
      <c r="AG38" s="8">
        <v>95</v>
      </c>
      <c r="AH38" s="8"/>
      <c r="AI38" s="16">
        <f t="shared" si="8"/>
        <v>83.666666666666671</v>
      </c>
      <c r="AJ38" s="13">
        <f t="shared" si="9"/>
        <v>12.55</v>
      </c>
      <c r="AK38" s="8">
        <v>100</v>
      </c>
      <c r="AL38" s="8">
        <v>100</v>
      </c>
      <c r="AM38" s="8">
        <v>100</v>
      </c>
      <c r="AN38" s="8"/>
      <c r="AO38" s="8"/>
      <c r="AP38" s="8"/>
      <c r="AQ38" s="16">
        <f t="shared" si="10"/>
        <v>100</v>
      </c>
      <c r="AR38" s="13">
        <f t="shared" si="11"/>
        <v>25</v>
      </c>
      <c r="AS38" s="8">
        <v>100</v>
      </c>
      <c r="AT38" s="8">
        <v>100</v>
      </c>
      <c r="AU38" s="8">
        <v>56</v>
      </c>
      <c r="AV38" s="8">
        <v>100</v>
      </c>
      <c r="AW38" s="8"/>
      <c r="AX38" s="16">
        <f t="shared" si="12"/>
        <v>89</v>
      </c>
      <c r="AY38" s="13">
        <f t="shared" si="13"/>
        <v>8.9</v>
      </c>
      <c r="AZ38" s="8">
        <v>43</v>
      </c>
      <c r="BA38" s="13">
        <f t="shared" si="19"/>
        <v>17.2</v>
      </c>
      <c r="BB38" s="13">
        <v>3</v>
      </c>
      <c r="BC38" s="8"/>
      <c r="BD38" s="13" t="str">
        <f t="shared" si="14"/>
        <v/>
      </c>
      <c r="BE38" s="8"/>
      <c r="BF38" s="13" t="str">
        <f t="shared" si="15"/>
        <v/>
      </c>
      <c r="BG38" s="14">
        <f t="shared" si="16"/>
        <v>70.316666666666663</v>
      </c>
      <c r="BH38" s="15" t="str">
        <f t="shared" si="17"/>
        <v>B</v>
      </c>
      <c r="BI38" s="15" t="str">
        <f t="shared" si="18"/>
        <v>PASS</v>
      </c>
    </row>
    <row r="39" spans="1:61" ht="16" customHeight="1" x14ac:dyDescent="0.2">
      <c r="A39" s="6">
        <v>25</v>
      </c>
      <c r="B39" s="6" t="s">
        <v>301</v>
      </c>
      <c r="C39" s="7" t="s">
        <v>302</v>
      </c>
      <c r="D39" s="6" t="s">
        <v>455</v>
      </c>
      <c r="E39" s="8" t="s">
        <v>362</v>
      </c>
      <c r="F39" s="8" t="s">
        <v>362</v>
      </c>
      <c r="G39" s="8" t="s">
        <v>362</v>
      </c>
      <c r="H39" s="8" t="s">
        <v>467</v>
      </c>
      <c r="I39" s="8" t="s">
        <v>467</v>
      </c>
      <c r="J39" s="8" t="s">
        <v>467</v>
      </c>
      <c r="K39" s="8" t="s">
        <v>364</v>
      </c>
      <c r="L39" s="8" t="s">
        <v>362</v>
      </c>
      <c r="M39" s="33"/>
      <c r="N39" s="8" t="s">
        <v>362</v>
      </c>
      <c r="O39" s="8" t="s">
        <v>362</v>
      </c>
      <c r="P39" s="8" t="s">
        <v>362</v>
      </c>
      <c r="Q39" s="8"/>
      <c r="R39" s="8"/>
      <c r="S39" s="8"/>
      <c r="T39" s="8"/>
      <c r="U39" s="33"/>
      <c r="V39" s="9">
        <f t="shared" si="0"/>
        <v>7</v>
      </c>
      <c r="W39" s="9">
        <f t="shared" si="1"/>
        <v>1</v>
      </c>
      <c r="X39" s="9">
        <f t="shared" si="2"/>
        <v>0</v>
      </c>
      <c r="Y39" s="9">
        <f t="shared" si="3"/>
        <v>3</v>
      </c>
      <c r="Z39" s="9">
        <f t="shared" si="4"/>
        <v>12</v>
      </c>
      <c r="AA39" s="10">
        <f t="shared" si="5"/>
        <v>0.58333333333333337</v>
      </c>
      <c r="AB39" s="11">
        <f t="shared" si="6"/>
        <v>5.8333333333333339</v>
      </c>
      <c r="AC39" s="12" t="str">
        <f t="shared" si="7"/>
        <v>OK</v>
      </c>
      <c r="AD39" s="8">
        <v>100</v>
      </c>
      <c r="AE39" s="8"/>
      <c r="AF39" s="8">
        <v>94</v>
      </c>
      <c r="AG39" s="8">
        <v>100</v>
      </c>
      <c r="AH39" s="8"/>
      <c r="AI39" s="16">
        <f t="shared" si="8"/>
        <v>98</v>
      </c>
      <c r="AJ39" s="13">
        <f t="shared" si="9"/>
        <v>14.7</v>
      </c>
      <c r="AK39" s="8">
        <v>100</v>
      </c>
      <c r="AL39" s="8">
        <v>100</v>
      </c>
      <c r="AM39" s="8">
        <v>0</v>
      </c>
      <c r="AN39" s="8"/>
      <c r="AO39" s="8"/>
      <c r="AP39" s="8"/>
      <c r="AQ39" s="16">
        <f t="shared" si="10"/>
        <v>66.666666666666671</v>
      </c>
      <c r="AR39" s="13">
        <f t="shared" si="11"/>
        <v>16.666666666666668</v>
      </c>
      <c r="AS39" s="8">
        <v>100</v>
      </c>
      <c r="AT39" s="8">
        <v>100</v>
      </c>
      <c r="AU39" s="8">
        <v>94</v>
      </c>
      <c r="AV39" s="8">
        <v>100</v>
      </c>
      <c r="AW39" s="8"/>
      <c r="AX39" s="16">
        <f t="shared" si="12"/>
        <v>98.5</v>
      </c>
      <c r="AY39" s="13">
        <f t="shared" si="13"/>
        <v>9.85</v>
      </c>
      <c r="AZ39" s="8">
        <v>50</v>
      </c>
      <c r="BA39" s="13">
        <f t="shared" si="19"/>
        <v>20</v>
      </c>
      <c r="BB39" s="13">
        <v>3</v>
      </c>
      <c r="BC39" s="8"/>
      <c r="BD39" s="13" t="str">
        <f t="shared" si="14"/>
        <v/>
      </c>
      <c r="BE39" s="8"/>
      <c r="BF39" s="13" t="str">
        <f t="shared" si="15"/>
        <v/>
      </c>
      <c r="BG39" s="14">
        <f t="shared" si="16"/>
        <v>67.050000000000011</v>
      </c>
      <c r="BH39" s="15" t="str">
        <f t="shared" si="17"/>
        <v>C+</v>
      </c>
      <c r="BI39" s="15" t="str">
        <f t="shared" si="18"/>
        <v>PASS</v>
      </c>
    </row>
    <row r="40" spans="1:61" ht="16" customHeight="1" x14ac:dyDescent="0.2">
      <c r="A40" s="6">
        <v>26</v>
      </c>
      <c r="B40" s="6" t="s">
        <v>303</v>
      </c>
      <c r="C40" s="7" t="s">
        <v>304</v>
      </c>
      <c r="D40" s="6" t="s">
        <v>456</v>
      </c>
      <c r="E40" s="8" t="s">
        <v>362</v>
      </c>
      <c r="F40" s="8" t="s">
        <v>362</v>
      </c>
      <c r="G40" s="8" t="s">
        <v>362</v>
      </c>
      <c r="H40" s="8" t="s">
        <v>467</v>
      </c>
      <c r="I40" s="8" t="s">
        <v>467</v>
      </c>
      <c r="J40" s="8" t="s">
        <v>467</v>
      </c>
      <c r="K40" s="8" t="s">
        <v>362</v>
      </c>
      <c r="L40" s="8" t="s">
        <v>362</v>
      </c>
      <c r="M40" s="33"/>
      <c r="N40" s="8" t="s">
        <v>362</v>
      </c>
      <c r="O40" s="8" t="s">
        <v>362</v>
      </c>
      <c r="P40" s="8" t="s">
        <v>364</v>
      </c>
      <c r="Q40" s="8"/>
      <c r="R40" s="8"/>
      <c r="S40" s="8"/>
      <c r="T40" s="8"/>
      <c r="U40" s="33"/>
      <c r="V40" s="9">
        <f t="shared" si="0"/>
        <v>7</v>
      </c>
      <c r="W40" s="9">
        <f t="shared" si="1"/>
        <v>1</v>
      </c>
      <c r="X40" s="9">
        <f t="shared" si="2"/>
        <v>0</v>
      </c>
      <c r="Y40" s="9">
        <f t="shared" si="3"/>
        <v>3</v>
      </c>
      <c r="Z40" s="9">
        <f t="shared" si="4"/>
        <v>12</v>
      </c>
      <c r="AA40" s="10">
        <f t="shared" si="5"/>
        <v>0.58333333333333337</v>
      </c>
      <c r="AB40" s="11">
        <f t="shared" si="6"/>
        <v>5.8333333333333339</v>
      </c>
      <c r="AC40" s="12" t="str">
        <f t="shared" si="7"/>
        <v>OK</v>
      </c>
      <c r="AD40" s="8">
        <v>100</v>
      </c>
      <c r="AE40" s="8"/>
      <c r="AF40" s="8">
        <v>0</v>
      </c>
      <c r="AG40" s="8">
        <v>0</v>
      </c>
      <c r="AH40" s="8"/>
      <c r="AI40" s="16">
        <f t="shared" si="8"/>
        <v>33.333333333333336</v>
      </c>
      <c r="AJ40" s="13">
        <f t="shared" si="9"/>
        <v>5.0000000000000009</v>
      </c>
      <c r="AK40" s="8">
        <v>100</v>
      </c>
      <c r="AL40" s="8">
        <v>100</v>
      </c>
      <c r="AM40" s="8">
        <v>100</v>
      </c>
      <c r="AN40" s="8"/>
      <c r="AO40" s="8"/>
      <c r="AP40" s="8"/>
      <c r="AQ40" s="16">
        <f t="shared" si="10"/>
        <v>100</v>
      </c>
      <c r="AR40" s="13">
        <f t="shared" si="11"/>
        <v>25</v>
      </c>
      <c r="AS40" s="8">
        <v>100</v>
      </c>
      <c r="AT40" s="8">
        <v>100</v>
      </c>
      <c r="AU40" s="8">
        <v>0</v>
      </c>
      <c r="AV40" s="8">
        <v>0</v>
      </c>
      <c r="AW40" s="8"/>
      <c r="AX40" s="16">
        <f t="shared" si="12"/>
        <v>50</v>
      </c>
      <c r="AY40" s="13">
        <f t="shared" si="13"/>
        <v>5</v>
      </c>
      <c r="AZ40" s="8">
        <v>40</v>
      </c>
      <c r="BA40" s="13">
        <f t="shared" si="19"/>
        <v>16</v>
      </c>
      <c r="BB40" s="13">
        <v>3</v>
      </c>
      <c r="BC40" s="8"/>
      <c r="BD40" s="13" t="str">
        <f t="shared" si="14"/>
        <v/>
      </c>
      <c r="BE40" s="8"/>
      <c r="BF40" s="13" t="str">
        <f t="shared" si="15"/>
        <v/>
      </c>
      <c r="BG40" s="14">
        <f t="shared" si="16"/>
        <v>56.833333333333336</v>
      </c>
      <c r="BH40" s="15" t="str">
        <f t="shared" si="17"/>
        <v>D+</v>
      </c>
      <c r="BI40" s="15" t="str">
        <f t="shared" si="18"/>
        <v>PASS</v>
      </c>
    </row>
    <row r="41" spans="1:61" ht="16" customHeight="1" x14ac:dyDescent="0.2">
      <c r="A41" s="6">
        <v>27</v>
      </c>
      <c r="B41" s="6" t="s">
        <v>305</v>
      </c>
      <c r="C41" s="7" t="s">
        <v>306</v>
      </c>
      <c r="D41" s="6" t="s">
        <v>457</v>
      </c>
      <c r="E41" s="8" t="s">
        <v>362</v>
      </c>
      <c r="F41" s="8" t="s">
        <v>362</v>
      </c>
      <c r="G41" s="8" t="s">
        <v>362</v>
      </c>
      <c r="H41" s="8" t="s">
        <v>467</v>
      </c>
      <c r="I41" s="8" t="s">
        <v>467</v>
      </c>
      <c r="J41" s="8" t="s">
        <v>467</v>
      </c>
      <c r="K41" s="8" t="s">
        <v>362</v>
      </c>
      <c r="L41" s="8" t="s">
        <v>362</v>
      </c>
      <c r="M41" s="33"/>
      <c r="N41" s="8" t="s">
        <v>362</v>
      </c>
      <c r="O41" s="8" t="s">
        <v>362</v>
      </c>
      <c r="P41" s="8" t="s">
        <v>364</v>
      </c>
      <c r="Q41" s="8"/>
      <c r="R41" s="8"/>
      <c r="S41" s="8"/>
      <c r="T41" s="8"/>
      <c r="U41" s="33"/>
      <c r="V41" s="9">
        <f t="shared" si="0"/>
        <v>7</v>
      </c>
      <c r="W41" s="9">
        <f t="shared" si="1"/>
        <v>1</v>
      </c>
      <c r="X41" s="9">
        <f t="shared" si="2"/>
        <v>0</v>
      </c>
      <c r="Y41" s="9">
        <f t="shared" si="3"/>
        <v>3</v>
      </c>
      <c r="Z41" s="9">
        <f t="shared" si="4"/>
        <v>12</v>
      </c>
      <c r="AA41" s="10">
        <f t="shared" si="5"/>
        <v>0.58333333333333337</v>
      </c>
      <c r="AB41" s="11">
        <f t="shared" si="6"/>
        <v>5.8333333333333339</v>
      </c>
      <c r="AC41" s="12" t="str">
        <f t="shared" si="7"/>
        <v>OK</v>
      </c>
      <c r="AD41" s="8">
        <v>100</v>
      </c>
      <c r="AE41" s="8"/>
      <c r="AF41" s="8">
        <v>0</v>
      </c>
      <c r="AG41" s="8">
        <v>95</v>
      </c>
      <c r="AH41" s="8"/>
      <c r="AI41" s="16">
        <f t="shared" si="8"/>
        <v>65</v>
      </c>
      <c r="AJ41" s="13">
        <f t="shared" si="9"/>
        <v>9.75</v>
      </c>
      <c r="AK41" s="8">
        <v>100</v>
      </c>
      <c r="AL41" s="8">
        <v>100</v>
      </c>
      <c r="AM41" s="8">
        <v>100</v>
      </c>
      <c r="AN41" s="8"/>
      <c r="AO41" s="8"/>
      <c r="AP41" s="8"/>
      <c r="AQ41" s="16">
        <f t="shared" si="10"/>
        <v>100</v>
      </c>
      <c r="AR41" s="13">
        <f t="shared" si="11"/>
        <v>25</v>
      </c>
      <c r="AS41" s="8">
        <v>100</v>
      </c>
      <c r="AT41" s="8">
        <v>100</v>
      </c>
      <c r="AU41" s="8">
        <v>0</v>
      </c>
      <c r="AV41" s="8">
        <v>0</v>
      </c>
      <c r="AW41" s="8"/>
      <c r="AX41" s="16">
        <f t="shared" si="12"/>
        <v>50</v>
      </c>
      <c r="AY41" s="13">
        <f t="shared" si="13"/>
        <v>5</v>
      </c>
      <c r="AZ41" s="8">
        <v>46</v>
      </c>
      <c r="BA41" s="13">
        <f t="shared" si="19"/>
        <v>18.400000000000002</v>
      </c>
      <c r="BB41" s="13">
        <v>5</v>
      </c>
      <c r="BC41" s="8"/>
      <c r="BD41" s="13" t="str">
        <f t="shared" si="14"/>
        <v/>
      </c>
      <c r="BE41" s="8"/>
      <c r="BF41" s="13" t="str">
        <f t="shared" si="15"/>
        <v/>
      </c>
      <c r="BG41" s="14">
        <f t="shared" si="16"/>
        <v>63.983333333333334</v>
      </c>
      <c r="BH41" s="15" t="str">
        <f t="shared" si="17"/>
        <v>C</v>
      </c>
      <c r="BI41" s="15" t="str">
        <f t="shared" si="18"/>
        <v>PASS</v>
      </c>
    </row>
    <row r="42" spans="1:61" ht="16" customHeight="1" x14ac:dyDescent="0.2">
      <c r="A42" s="6">
        <v>28</v>
      </c>
      <c r="B42" s="6" t="s">
        <v>307</v>
      </c>
      <c r="C42" s="7" t="s">
        <v>308</v>
      </c>
      <c r="D42" s="6" t="s">
        <v>458</v>
      </c>
      <c r="E42" s="8" t="s">
        <v>362</v>
      </c>
      <c r="F42" s="8" t="s">
        <v>362</v>
      </c>
      <c r="G42" s="8" t="s">
        <v>362</v>
      </c>
      <c r="H42" s="8" t="s">
        <v>467</v>
      </c>
      <c r="I42" s="8" t="s">
        <v>467</v>
      </c>
      <c r="J42" s="8" t="s">
        <v>467</v>
      </c>
      <c r="K42" s="8" t="s">
        <v>364</v>
      </c>
      <c r="L42" s="8" t="s">
        <v>362</v>
      </c>
      <c r="M42" s="33"/>
      <c r="N42" s="8" t="s">
        <v>362</v>
      </c>
      <c r="O42" s="8" t="s">
        <v>362</v>
      </c>
      <c r="P42" s="8" t="s">
        <v>362</v>
      </c>
      <c r="Q42" s="8"/>
      <c r="R42" s="8"/>
      <c r="S42" s="8"/>
      <c r="T42" s="8"/>
      <c r="U42" s="33"/>
      <c r="V42" s="9">
        <f t="shared" si="0"/>
        <v>7</v>
      </c>
      <c r="W42" s="9">
        <f t="shared" si="1"/>
        <v>1</v>
      </c>
      <c r="X42" s="9">
        <f t="shared" si="2"/>
        <v>0</v>
      </c>
      <c r="Y42" s="9">
        <f t="shared" si="3"/>
        <v>3</v>
      </c>
      <c r="Z42" s="9">
        <f t="shared" si="4"/>
        <v>12</v>
      </c>
      <c r="AA42" s="10">
        <f t="shared" si="5"/>
        <v>0.58333333333333337</v>
      </c>
      <c r="AB42" s="11">
        <f t="shared" si="6"/>
        <v>5.8333333333333339</v>
      </c>
      <c r="AC42" s="12" t="str">
        <f t="shared" si="7"/>
        <v>OK</v>
      </c>
      <c r="AD42" s="8">
        <v>100</v>
      </c>
      <c r="AE42" s="8"/>
      <c r="AF42" s="8">
        <v>71</v>
      </c>
      <c r="AG42" s="8">
        <v>100</v>
      </c>
      <c r="AH42" s="8"/>
      <c r="AI42" s="16">
        <f t="shared" si="8"/>
        <v>90.333333333333329</v>
      </c>
      <c r="AJ42" s="13">
        <f t="shared" si="9"/>
        <v>13.55</v>
      </c>
      <c r="AK42" s="8">
        <v>100</v>
      </c>
      <c r="AL42" s="8">
        <v>100</v>
      </c>
      <c r="AM42" s="8">
        <v>0</v>
      </c>
      <c r="AN42" s="8"/>
      <c r="AO42" s="8"/>
      <c r="AP42" s="8"/>
      <c r="AQ42" s="16">
        <f t="shared" si="10"/>
        <v>66.666666666666671</v>
      </c>
      <c r="AR42" s="13">
        <f t="shared" si="11"/>
        <v>16.666666666666668</v>
      </c>
      <c r="AS42" s="8">
        <v>100</v>
      </c>
      <c r="AT42" s="8">
        <v>100</v>
      </c>
      <c r="AU42" s="8">
        <v>71</v>
      </c>
      <c r="AV42" s="8">
        <v>100</v>
      </c>
      <c r="AW42" s="8"/>
      <c r="AX42" s="16">
        <f t="shared" si="12"/>
        <v>92.75</v>
      </c>
      <c r="AY42" s="13">
        <f t="shared" si="13"/>
        <v>9.2750000000000004</v>
      </c>
      <c r="AZ42" s="8">
        <v>49</v>
      </c>
      <c r="BA42" s="13">
        <f t="shared" si="19"/>
        <v>19.600000000000001</v>
      </c>
      <c r="BB42" s="13">
        <v>3</v>
      </c>
      <c r="BC42" s="8"/>
      <c r="BD42" s="13" t="str">
        <f t="shared" si="14"/>
        <v/>
      </c>
      <c r="BE42" s="8"/>
      <c r="BF42" s="13" t="str">
        <f t="shared" si="15"/>
        <v/>
      </c>
      <c r="BG42" s="14">
        <f t="shared" si="16"/>
        <v>64.924999999999997</v>
      </c>
      <c r="BH42" s="15" t="str">
        <f t="shared" si="17"/>
        <v>C</v>
      </c>
      <c r="BI42" s="15" t="str">
        <f t="shared" si="18"/>
        <v>PASS</v>
      </c>
    </row>
    <row r="43" spans="1:61" ht="16" customHeight="1" x14ac:dyDescent="0.2">
      <c r="A43" s="6">
        <v>29</v>
      </c>
      <c r="B43" s="6" t="s">
        <v>309</v>
      </c>
      <c r="C43" s="7" t="s">
        <v>310</v>
      </c>
      <c r="D43" s="6" t="s">
        <v>506</v>
      </c>
      <c r="E43" s="8" t="s">
        <v>362</v>
      </c>
      <c r="F43" s="8" t="s">
        <v>362</v>
      </c>
      <c r="G43" s="8" t="s">
        <v>362</v>
      </c>
      <c r="H43" s="8" t="s">
        <v>467</v>
      </c>
      <c r="I43" s="8" t="s">
        <v>467</v>
      </c>
      <c r="J43" s="8" t="s">
        <v>467</v>
      </c>
      <c r="K43" s="8" t="s">
        <v>364</v>
      </c>
      <c r="L43" s="8" t="s">
        <v>362</v>
      </c>
      <c r="M43" s="33"/>
      <c r="N43" s="8" t="s">
        <v>362</v>
      </c>
      <c r="O43" s="8" t="s">
        <v>362</v>
      </c>
      <c r="P43" s="8" t="s">
        <v>364</v>
      </c>
      <c r="Q43" s="8"/>
      <c r="R43" s="8"/>
      <c r="S43" s="8"/>
      <c r="T43" s="8"/>
      <c r="U43" s="33"/>
      <c r="V43" s="9">
        <f t="shared" si="0"/>
        <v>6</v>
      </c>
      <c r="W43" s="9">
        <f t="shared" si="1"/>
        <v>2</v>
      </c>
      <c r="X43" s="9">
        <f t="shared" si="2"/>
        <v>0</v>
      </c>
      <c r="Y43" s="9">
        <f t="shared" si="3"/>
        <v>3</v>
      </c>
      <c r="Z43" s="9">
        <f t="shared" si="4"/>
        <v>12</v>
      </c>
      <c r="AA43" s="10">
        <f t="shared" si="5"/>
        <v>0.5</v>
      </c>
      <c r="AB43" s="11">
        <f t="shared" si="6"/>
        <v>5</v>
      </c>
      <c r="AC43" s="12" t="str">
        <f t="shared" si="7"/>
        <v>OK</v>
      </c>
      <c r="AD43" s="8">
        <v>100</v>
      </c>
      <c r="AE43" s="8"/>
      <c r="AF43" s="8">
        <v>96</v>
      </c>
      <c r="AG43" s="8">
        <v>90</v>
      </c>
      <c r="AH43" s="8"/>
      <c r="AI43" s="16">
        <f t="shared" si="8"/>
        <v>95.333333333333329</v>
      </c>
      <c r="AJ43" s="13">
        <f t="shared" si="9"/>
        <v>14.299999999999999</v>
      </c>
      <c r="AK43" s="8">
        <v>100</v>
      </c>
      <c r="AL43" s="8">
        <v>100</v>
      </c>
      <c r="AM43" s="8">
        <v>0</v>
      </c>
      <c r="AN43" s="8"/>
      <c r="AO43" s="8"/>
      <c r="AP43" s="8"/>
      <c r="AQ43" s="16">
        <f t="shared" si="10"/>
        <v>66.666666666666671</v>
      </c>
      <c r="AR43" s="13">
        <f t="shared" si="11"/>
        <v>16.666666666666668</v>
      </c>
      <c r="AS43" s="8">
        <v>100</v>
      </c>
      <c r="AT43" s="8">
        <v>100</v>
      </c>
      <c r="AU43" s="8">
        <v>96</v>
      </c>
      <c r="AV43" s="8">
        <v>0</v>
      </c>
      <c r="AW43" s="8"/>
      <c r="AX43" s="16">
        <f t="shared" si="12"/>
        <v>74</v>
      </c>
      <c r="AY43" s="13">
        <f t="shared" si="13"/>
        <v>7.4</v>
      </c>
      <c r="AZ43" s="8">
        <v>38</v>
      </c>
      <c r="BA43" s="13">
        <f t="shared" si="19"/>
        <v>15.2</v>
      </c>
      <c r="BB43" s="13"/>
      <c r="BC43" s="8"/>
      <c r="BD43" s="13" t="str">
        <f t="shared" si="14"/>
        <v/>
      </c>
      <c r="BE43" s="8"/>
      <c r="BF43" s="13" t="str">
        <f t="shared" si="15"/>
        <v/>
      </c>
      <c r="BG43" s="14">
        <f t="shared" si="16"/>
        <v>58.566666666666663</v>
      </c>
      <c r="BH43" s="15" t="str">
        <f t="shared" si="17"/>
        <v>D+</v>
      </c>
      <c r="BI43" s="15" t="str">
        <f t="shared" si="18"/>
        <v>PASS</v>
      </c>
    </row>
    <row r="44" spans="1:61" ht="16" customHeight="1" x14ac:dyDescent="0.2">
      <c r="A44" s="6">
        <v>30</v>
      </c>
      <c r="B44" s="6" t="s">
        <v>311</v>
      </c>
      <c r="C44" s="7" t="s">
        <v>312</v>
      </c>
      <c r="D44" s="6" t="s">
        <v>507</v>
      </c>
      <c r="E44" s="8" t="s">
        <v>362</v>
      </c>
      <c r="F44" s="8" t="s">
        <v>362</v>
      </c>
      <c r="G44" s="8" t="s">
        <v>362</v>
      </c>
      <c r="H44" s="8" t="s">
        <v>467</v>
      </c>
      <c r="I44" s="8" t="s">
        <v>467</v>
      </c>
      <c r="J44" s="8" t="s">
        <v>467</v>
      </c>
      <c r="K44" s="8" t="s">
        <v>362</v>
      </c>
      <c r="L44" s="8" t="s">
        <v>362</v>
      </c>
      <c r="M44" s="33"/>
      <c r="N44" s="8" t="s">
        <v>362</v>
      </c>
      <c r="O44" s="8" t="s">
        <v>362</v>
      </c>
      <c r="P44" s="8" t="s">
        <v>362</v>
      </c>
      <c r="Q44" s="8"/>
      <c r="R44" s="8"/>
      <c r="S44" s="8"/>
      <c r="T44" s="8"/>
      <c r="U44" s="33"/>
      <c r="V44" s="9">
        <f t="shared" si="0"/>
        <v>8</v>
      </c>
      <c r="W44" s="9">
        <f t="shared" si="1"/>
        <v>0</v>
      </c>
      <c r="X44" s="9">
        <f t="shared" si="2"/>
        <v>0</v>
      </c>
      <c r="Y44" s="9">
        <f t="shared" si="3"/>
        <v>3</v>
      </c>
      <c r="Z44" s="9">
        <f t="shared" si="4"/>
        <v>12</v>
      </c>
      <c r="AA44" s="10">
        <f t="shared" si="5"/>
        <v>0.66666666666666663</v>
      </c>
      <c r="AB44" s="11">
        <f t="shared" si="6"/>
        <v>6.6666666666666661</v>
      </c>
      <c r="AC44" s="12" t="str">
        <f t="shared" si="7"/>
        <v>OK</v>
      </c>
      <c r="AD44" s="8">
        <v>100</v>
      </c>
      <c r="AE44" s="8"/>
      <c r="AF44" s="8">
        <v>0</v>
      </c>
      <c r="AG44" s="8">
        <v>95</v>
      </c>
      <c r="AH44" s="8"/>
      <c r="AI44" s="16">
        <f t="shared" si="8"/>
        <v>65</v>
      </c>
      <c r="AJ44" s="13">
        <f t="shared" si="9"/>
        <v>9.75</v>
      </c>
      <c r="AK44" s="8">
        <v>100</v>
      </c>
      <c r="AL44" s="8">
        <v>100</v>
      </c>
      <c r="AM44" s="8">
        <v>100</v>
      </c>
      <c r="AN44" s="8"/>
      <c r="AO44" s="8"/>
      <c r="AP44" s="8"/>
      <c r="AQ44" s="16">
        <f t="shared" si="10"/>
        <v>100</v>
      </c>
      <c r="AR44" s="13">
        <f t="shared" si="11"/>
        <v>25</v>
      </c>
      <c r="AS44" s="8">
        <v>100</v>
      </c>
      <c r="AT44" s="8">
        <v>100</v>
      </c>
      <c r="AU44" s="8">
        <v>0</v>
      </c>
      <c r="AV44" s="8">
        <v>100</v>
      </c>
      <c r="AW44" s="8"/>
      <c r="AX44" s="16">
        <f t="shared" si="12"/>
        <v>75</v>
      </c>
      <c r="AY44" s="13">
        <f t="shared" si="13"/>
        <v>7.5</v>
      </c>
      <c r="AZ44" s="8">
        <v>48</v>
      </c>
      <c r="BA44" s="13">
        <f t="shared" si="19"/>
        <v>19.2</v>
      </c>
      <c r="BB44" s="13">
        <v>2</v>
      </c>
      <c r="BC44" s="8"/>
      <c r="BD44" s="13" t="str">
        <f t="shared" si="14"/>
        <v/>
      </c>
      <c r="BE44" s="8"/>
      <c r="BF44" s="13" t="str">
        <f t="shared" si="15"/>
        <v/>
      </c>
      <c r="BG44" s="14">
        <f t="shared" si="16"/>
        <v>68.11666666666666</v>
      </c>
      <c r="BH44" s="15" t="str">
        <f t="shared" si="17"/>
        <v>C+</v>
      </c>
      <c r="BI44" s="15" t="str">
        <f t="shared" si="18"/>
        <v>PASS</v>
      </c>
    </row>
    <row r="45" spans="1:61" ht="16" customHeight="1" x14ac:dyDescent="0.2">
      <c r="A45" s="6">
        <v>31</v>
      </c>
      <c r="B45" s="6" t="s">
        <v>313</v>
      </c>
      <c r="C45" s="7" t="s">
        <v>314</v>
      </c>
      <c r="D45" s="6" t="s">
        <v>459</v>
      </c>
      <c r="E45" s="8" t="s">
        <v>362</v>
      </c>
      <c r="F45" s="8" t="s">
        <v>362</v>
      </c>
      <c r="G45" s="8" t="s">
        <v>362</v>
      </c>
      <c r="H45" s="8" t="s">
        <v>467</v>
      </c>
      <c r="I45" s="8" t="s">
        <v>467</v>
      </c>
      <c r="J45" s="8" t="s">
        <v>467</v>
      </c>
      <c r="K45" s="8" t="s">
        <v>362</v>
      </c>
      <c r="L45" s="8" t="s">
        <v>362</v>
      </c>
      <c r="M45" s="33"/>
      <c r="N45" s="8" t="s">
        <v>362</v>
      </c>
      <c r="O45" s="8" t="s">
        <v>364</v>
      </c>
      <c r="P45" s="8" t="s">
        <v>364</v>
      </c>
      <c r="Q45" s="8"/>
      <c r="R45" s="8"/>
      <c r="S45" s="8"/>
      <c r="T45" s="8"/>
      <c r="U45" s="33"/>
      <c r="V45" s="9">
        <f t="shared" si="0"/>
        <v>6</v>
      </c>
      <c r="W45" s="9">
        <f t="shared" si="1"/>
        <v>2</v>
      </c>
      <c r="X45" s="9">
        <f t="shared" si="2"/>
        <v>0</v>
      </c>
      <c r="Y45" s="9">
        <f t="shared" si="3"/>
        <v>3</v>
      </c>
      <c r="Z45" s="9">
        <f t="shared" si="4"/>
        <v>12</v>
      </c>
      <c r="AA45" s="10">
        <f t="shared" si="5"/>
        <v>0.5</v>
      </c>
      <c r="AB45" s="11">
        <f t="shared" si="6"/>
        <v>5</v>
      </c>
      <c r="AC45" s="12" t="str">
        <f t="shared" si="7"/>
        <v>OK</v>
      </c>
      <c r="AD45" s="8">
        <v>100</v>
      </c>
      <c r="AE45" s="8"/>
      <c r="AF45" s="8">
        <v>0</v>
      </c>
      <c r="AG45" s="8">
        <v>100</v>
      </c>
      <c r="AH45" s="8"/>
      <c r="AI45" s="16">
        <f t="shared" si="8"/>
        <v>66.666666666666671</v>
      </c>
      <c r="AJ45" s="13">
        <f t="shared" si="9"/>
        <v>10.000000000000002</v>
      </c>
      <c r="AK45" s="8">
        <v>100</v>
      </c>
      <c r="AL45" s="8">
        <v>100</v>
      </c>
      <c r="AM45" s="8">
        <v>100</v>
      </c>
      <c r="AN45" s="8"/>
      <c r="AO45" s="8"/>
      <c r="AP45" s="8"/>
      <c r="AQ45" s="16">
        <f t="shared" si="10"/>
        <v>100</v>
      </c>
      <c r="AR45" s="13">
        <f t="shared" si="11"/>
        <v>25</v>
      </c>
      <c r="AS45" s="8">
        <v>100</v>
      </c>
      <c r="AT45" s="8">
        <v>100</v>
      </c>
      <c r="AU45" s="8">
        <v>0</v>
      </c>
      <c r="AV45" s="8">
        <v>0</v>
      </c>
      <c r="AW45" s="8"/>
      <c r="AX45" s="16">
        <f t="shared" si="12"/>
        <v>50</v>
      </c>
      <c r="AY45" s="13">
        <f t="shared" si="13"/>
        <v>5</v>
      </c>
      <c r="AZ45" s="8">
        <v>46</v>
      </c>
      <c r="BA45" s="13">
        <f t="shared" si="19"/>
        <v>18.400000000000002</v>
      </c>
      <c r="BB45" s="13"/>
      <c r="BC45" s="8"/>
      <c r="BD45" s="13" t="str">
        <f t="shared" si="14"/>
        <v/>
      </c>
      <c r="BE45" s="8"/>
      <c r="BF45" s="13" t="str">
        <f t="shared" si="15"/>
        <v/>
      </c>
      <c r="BG45" s="14">
        <f t="shared" si="16"/>
        <v>63.400000000000006</v>
      </c>
      <c r="BH45" s="15" t="str">
        <f t="shared" si="17"/>
        <v>C</v>
      </c>
      <c r="BI45" s="15" t="str">
        <f t="shared" si="18"/>
        <v>PASS</v>
      </c>
    </row>
    <row r="46" spans="1:61" ht="16" customHeight="1" x14ac:dyDescent="0.2">
      <c r="A46" s="6">
        <v>32</v>
      </c>
      <c r="B46" s="6" t="s">
        <v>315</v>
      </c>
      <c r="C46" s="7" t="s">
        <v>316</v>
      </c>
      <c r="D46" s="6" t="s">
        <v>379</v>
      </c>
      <c r="E46" s="8" t="s">
        <v>362</v>
      </c>
      <c r="F46" s="8" t="s">
        <v>362</v>
      </c>
      <c r="G46" s="8" t="s">
        <v>362</v>
      </c>
      <c r="H46" s="8" t="s">
        <v>467</v>
      </c>
      <c r="I46" s="8" t="s">
        <v>467</v>
      </c>
      <c r="J46" s="8" t="s">
        <v>467</v>
      </c>
      <c r="K46" s="8" t="s">
        <v>364</v>
      </c>
      <c r="L46" s="8" t="s">
        <v>362</v>
      </c>
      <c r="M46" s="33"/>
      <c r="N46" s="8" t="s">
        <v>362</v>
      </c>
      <c r="O46" s="8" t="s">
        <v>362</v>
      </c>
      <c r="P46" s="8" t="s">
        <v>362</v>
      </c>
      <c r="Q46" s="8"/>
      <c r="R46" s="8"/>
      <c r="S46" s="8"/>
      <c r="T46" s="8"/>
      <c r="U46" s="33"/>
      <c r="V46" s="9">
        <f t="shared" si="0"/>
        <v>7</v>
      </c>
      <c r="W46" s="9">
        <f t="shared" si="1"/>
        <v>1</v>
      </c>
      <c r="X46" s="9">
        <f t="shared" si="2"/>
        <v>0</v>
      </c>
      <c r="Y46" s="9">
        <f t="shared" si="3"/>
        <v>3</v>
      </c>
      <c r="Z46" s="9">
        <f t="shared" si="4"/>
        <v>12</v>
      </c>
      <c r="AA46" s="10">
        <f t="shared" si="5"/>
        <v>0.58333333333333337</v>
      </c>
      <c r="AB46" s="11">
        <f t="shared" si="6"/>
        <v>5.8333333333333339</v>
      </c>
      <c r="AC46" s="12" t="str">
        <f t="shared" si="7"/>
        <v>OK</v>
      </c>
      <c r="AD46" s="8">
        <v>100</v>
      </c>
      <c r="AE46" s="8"/>
      <c r="AF46" s="8">
        <v>0</v>
      </c>
      <c r="AG46" s="8">
        <v>90</v>
      </c>
      <c r="AH46" s="8"/>
      <c r="AI46" s="16">
        <f t="shared" si="8"/>
        <v>63.333333333333336</v>
      </c>
      <c r="AJ46" s="13">
        <f t="shared" si="9"/>
        <v>9.5</v>
      </c>
      <c r="AK46" s="8">
        <v>100</v>
      </c>
      <c r="AL46" s="8">
        <v>100</v>
      </c>
      <c r="AM46" s="8">
        <v>0</v>
      </c>
      <c r="AN46" s="8"/>
      <c r="AO46" s="8"/>
      <c r="AP46" s="8"/>
      <c r="AQ46" s="16">
        <f t="shared" si="10"/>
        <v>66.666666666666671</v>
      </c>
      <c r="AR46" s="13">
        <f t="shared" si="11"/>
        <v>16.666666666666668</v>
      </c>
      <c r="AS46" s="8">
        <v>100</v>
      </c>
      <c r="AT46" s="8">
        <v>100</v>
      </c>
      <c r="AU46" s="8">
        <v>0</v>
      </c>
      <c r="AV46" s="8">
        <v>100</v>
      </c>
      <c r="AW46" s="8"/>
      <c r="AX46" s="16">
        <f t="shared" si="12"/>
        <v>75</v>
      </c>
      <c r="AY46" s="13">
        <f t="shared" si="13"/>
        <v>7.5</v>
      </c>
      <c r="AZ46" s="8">
        <v>35</v>
      </c>
      <c r="BA46" s="13">
        <f t="shared" si="19"/>
        <v>14</v>
      </c>
      <c r="BB46" s="13">
        <v>2</v>
      </c>
      <c r="BC46" s="8"/>
      <c r="BD46" s="13" t="str">
        <f t="shared" si="14"/>
        <v/>
      </c>
      <c r="BE46" s="8"/>
      <c r="BF46" s="13" t="str">
        <f t="shared" si="15"/>
        <v/>
      </c>
      <c r="BG46" s="14">
        <f t="shared" si="16"/>
        <v>53.5</v>
      </c>
      <c r="BH46" s="15" t="str">
        <f t="shared" si="17"/>
        <v>D</v>
      </c>
      <c r="BI46" s="15" t="str">
        <f t="shared" si="18"/>
        <v>PASS</v>
      </c>
    </row>
    <row r="47" spans="1:61" ht="16" customHeight="1" x14ac:dyDescent="0.2">
      <c r="A47" s="6">
        <v>33</v>
      </c>
      <c r="B47" s="6" t="s">
        <v>317</v>
      </c>
      <c r="C47" s="7" t="s">
        <v>318</v>
      </c>
      <c r="D47" s="6" t="s">
        <v>460</v>
      </c>
      <c r="E47" s="8" t="s">
        <v>362</v>
      </c>
      <c r="F47" s="8" t="s">
        <v>364</v>
      </c>
      <c r="G47" s="8" t="s">
        <v>364</v>
      </c>
      <c r="H47" s="8" t="s">
        <v>467</v>
      </c>
      <c r="I47" s="8" t="s">
        <v>467</v>
      </c>
      <c r="J47" s="8" t="s">
        <v>467</v>
      </c>
      <c r="K47" s="8" t="s">
        <v>362</v>
      </c>
      <c r="L47" s="8" t="s">
        <v>364</v>
      </c>
      <c r="M47" s="33"/>
      <c r="N47" s="8" t="s">
        <v>362</v>
      </c>
      <c r="O47" s="8" t="s">
        <v>362</v>
      </c>
      <c r="P47" s="8" t="s">
        <v>362</v>
      </c>
      <c r="Q47" s="8"/>
      <c r="R47" s="8"/>
      <c r="S47" s="8"/>
      <c r="T47" s="8"/>
      <c r="U47" s="33"/>
      <c r="V47" s="9">
        <f t="shared" si="0"/>
        <v>5</v>
      </c>
      <c r="W47" s="9">
        <f t="shared" si="1"/>
        <v>3</v>
      </c>
      <c r="X47" s="9">
        <f t="shared" si="2"/>
        <v>0</v>
      </c>
      <c r="Y47" s="9">
        <f t="shared" si="3"/>
        <v>3</v>
      </c>
      <c r="Z47" s="9">
        <f t="shared" si="4"/>
        <v>12</v>
      </c>
      <c r="AA47" s="10">
        <f t="shared" si="5"/>
        <v>0.41666666666666669</v>
      </c>
      <c r="AB47" s="11">
        <f t="shared" si="6"/>
        <v>4.166666666666667</v>
      </c>
      <c r="AC47" s="12" t="str">
        <f t="shared" si="7"/>
        <v>WARNING: 3 absences</v>
      </c>
      <c r="AD47" s="8">
        <v>100</v>
      </c>
      <c r="AE47" s="8"/>
      <c r="AF47" s="8">
        <v>65</v>
      </c>
      <c r="AG47" s="8">
        <v>0</v>
      </c>
      <c r="AH47" s="8"/>
      <c r="AI47" s="16">
        <f t="shared" si="8"/>
        <v>55</v>
      </c>
      <c r="AJ47" s="13">
        <f t="shared" si="9"/>
        <v>8.25</v>
      </c>
      <c r="AK47" s="8">
        <v>100</v>
      </c>
      <c r="AL47" s="8">
        <v>0</v>
      </c>
      <c r="AM47" s="8">
        <v>100</v>
      </c>
      <c r="AN47" s="8"/>
      <c r="AO47" s="8"/>
      <c r="AP47" s="8"/>
      <c r="AQ47" s="16">
        <f t="shared" si="10"/>
        <v>66.666666666666671</v>
      </c>
      <c r="AR47" s="13">
        <f t="shared" si="11"/>
        <v>16.666666666666668</v>
      </c>
      <c r="AS47" s="8">
        <v>100</v>
      </c>
      <c r="AT47" s="8">
        <v>0</v>
      </c>
      <c r="AU47" s="8">
        <v>65</v>
      </c>
      <c r="AV47" s="8">
        <v>100</v>
      </c>
      <c r="AW47" s="8"/>
      <c r="AX47" s="16">
        <f t="shared" si="12"/>
        <v>66.25</v>
      </c>
      <c r="AY47" s="13">
        <f t="shared" si="13"/>
        <v>6.625</v>
      </c>
      <c r="AZ47" s="8">
        <v>38</v>
      </c>
      <c r="BA47" s="13">
        <f t="shared" si="19"/>
        <v>15.2</v>
      </c>
      <c r="BB47" s="13">
        <v>3</v>
      </c>
      <c r="BC47" s="8"/>
      <c r="BD47" s="13" t="str">
        <f t="shared" si="14"/>
        <v/>
      </c>
      <c r="BE47" s="8"/>
      <c r="BF47" s="13" t="str">
        <f t="shared" si="15"/>
        <v/>
      </c>
      <c r="BG47" s="14">
        <f t="shared" si="16"/>
        <v>50.908333333333331</v>
      </c>
      <c r="BH47" s="15" t="str">
        <f t="shared" si="17"/>
        <v>D</v>
      </c>
      <c r="BI47" s="15" t="str">
        <f t="shared" si="18"/>
        <v>PASS</v>
      </c>
    </row>
    <row r="48" spans="1:61" ht="16" customHeight="1" x14ac:dyDescent="0.2">
      <c r="A48" s="6">
        <v>34</v>
      </c>
      <c r="B48" s="6" t="s">
        <v>319</v>
      </c>
      <c r="C48" s="7" t="s">
        <v>320</v>
      </c>
      <c r="D48" s="6" t="s">
        <v>508</v>
      </c>
      <c r="E48" s="8" t="s">
        <v>362</v>
      </c>
      <c r="F48" s="8" t="s">
        <v>362</v>
      </c>
      <c r="G48" s="8" t="s">
        <v>362</v>
      </c>
      <c r="H48" s="8" t="s">
        <v>467</v>
      </c>
      <c r="I48" s="8" t="s">
        <v>467</v>
      </c>
      <c r="J48" s="8" t="s">
        <v>467</v>
      </c>
      <c r="K48" s="8" t="s">
        <v>364</v>
      </c>
      <c r="L48" s="8" t="s">
        <v>362</v>
      </c>
      <c r="M48" s="33"/>
      <c r="N48" s="8" t="s">
        <v>362</v>
      </c>
      <c r="O48" s="8" t="s">
        <v>362</v>
      </c>
      <c r="P48" s="8" t="s">
        <v>362</v>
      </c>
      <c r="Q48" s="8"/>
      <c r="R48" s="8"/>
      <c r="S48" s="8"/>
      <c r="T48" s="8"/>
      <c r="U48" s="33"/>
      <c r="V48" s="9">
        <f t="shared" si="0"/>
        <v>7</v>
      </c>
      <c r="W48" s="9">
        <f t="shared" si="1"/>
        <v>1</v>
      </c>
      <c r="X48" s="9">
        <f t="shared" si="2"/>
        <v>0</v>
      </c>
      <c r="Y48" s="9">
        <f t="shared" si="3"/>
        <v>3</v>
      </c>
      <c r="Z48" s="9">
        <f t="shared" si="4"/>
        <v>12</v>
      </c>
      <c r="AA48" s="10">
        <f t="shared" si="5"/>
        <v>0.58333333333333337</v>
      </c>
      <c r="AB48" s="11">
        <f t="shared" si="6"/>
        <v>5.8333333333333339</v>
      </c>
      <c r="AC48" s="12" t="str">
        <f t="shared" si="7"/>
        <v>OK</v>
      </c>
      <c r="AD48" s="8">
        <v>100</v>
      </c>
      <c r="AE48" s="8"/>
      <c r="AF48" s="8">
        <v>0</v>
      </c>
      <c r="AG48" s="8">
        <v>95</v>
      </c>
      <c r="AH48" s="8"/>
      <c r="AI48" s="16">
        <f t="shared" si="8"/>
        <v>65</v>
      </c>
      <c r="AJ48" s="13">
        <f t="shared" si="9"/>
        <v>9.75</v>
      </c>
      <c r="AK48" s="8">
        <v>100</v>
      </c>
      <c r="AL48" s="8">
        <v>100</v>
      </c>
      <c r="AM48" s="8">
        <v>0</v>
      </c>
      <c r="AN48" s="8"/>
      <c r="AO48" s="8"/>
      <c r="AP48" s="8"/>
      <c r="AQ48" s="16">
        <f t="shared" si="10"/>
        <v>66.666666666666671</v>
      </c>
      <c r="AR48" s="13">
        <f t="shared" si="11"/>
        <v>16.666666666666668</v>
      </c>
      <c r="AS48" s="8">
        <v>100</v>
      </c>
      <c r="AT48" s="8">
        <v>100</v>
      </c>
      <c r="AU48" s="8">
        <v>0</v>
      </c>
      <c r="AV48" s="8">
        <v>100</v>
      </c>
      <c r="AW48" s="8"/>
      <c r="AX48" s="16">
        <f t="shared" si="12"/>
        <v>75</v>
      </c>
      <c r="AY48" s="13">
        <f t="shared" si="13"/>
        <v>7.5</v>
      </c>
      <c r="AZ48" s="8">
        <v>39</v>
      </c>
      <c r="BA48" s="13">
        <f t="shared" si="19"/>
        <v>15.600000000000001</v>
      </c>
      <c r="BB48" s="13">
        <v>2</v>
      </c>
      <c r="BC48" s="8"/>
      <c r="BD48" s="13" t="str">
        <f t="shared" si="14"/>
        <v/>
      </c>
      <c r="BE48" s="8"/>
      <c r="BF48" s="13" t="str">
        <f t="shared" si="15"/>
        <v/>
      </c>
      <c r="BG48" s="14">
        <f t="shared" si="16"/>
        <v>55.35</v>
      </c>
      <c r="BH48" s="15" t="str">
        <f t="shared" si="17"/>
        <v>D+</v>
      </c>
      <c r="BI48" s="15" t="str">
        <f t="shared" si="18"/>
        <v>PASS</v>
      </c>
    </row>
    <row r="49" spans="1:61" ht="16" customHeight="1" x14ac:dyDescent="0.2">
      <c r="A49" s="6">
        <v>35</v>
      </c>
      <c r="B49" s="6" t="s">
        <v>321</v>
      </c>
      <c r="C49" s="7" t="s">
        <v>322</v>
      </c>
      <c r="D49" s="6" t="s">
        <v>368</v>
      </c>
      <c r="E49" s="8" t="s">
        <v>362</v>
      </c>
      <c r="F49" s="8" t="s">
        <v>362</v>
      </c>
      <c r="G49" s="8" t="s">
        <v>364</v>
      </c>
      <c r="H49" s="8" t="s">
        <v>467</v>
      </c>
      <c r="I49" s="8" t="s">
        <v>467</v>
      </c>
      <c r="J49" s="8" t="s">
        <v>467</v>
      </c>
      <c r="K49" s="8" t="s">
        <v>364</v>
      </c>
      <c r="L49" s="8" t="s">
        <v>362</v>
      </c>
      <c r="M49" s="33"/>
      <c r="N49" s="8" t="s">
        <v>403</v>
      </c>
      <c r="O49" s="8" t="s">
        <v>364</v>
      </c>
      <c r="P49" s="8" t="s">
        <v>362</v>
      </c>
      <c r="Q49" s="8"/>
      <c r="R49" s="8"/>
      <c r="S49" s="8"/>
      <c r="T49" s="8"/>
      <c r="U49" s="33"/>
      <c r="V49" s="9">
        <f t="shared" si="0"/>
        <v>4</v>
      </c>
      <c r="W49" s="9">
        <f t="shared" si="1"/>
        <v>3</v>
      </c>
      <c r="X49" s="9">
        <f t="shared" si="2"/>
        <v>1</v>
      </c>
      <c r="Y49" s="9">
        <f t="shared" si="3"/>
        <v>3</v>
      </c>
      <c r="Z49" s="9">
        <f t="shared" si="4"/>
        <v>12</v>
      </c>
      <c r="AA49" s="10">
        <f t="shared" si="5"/>
        <v>0.41666666666666669</v>
      </c>
      <c r="AB49" s="11">
        <f t="shared" si="6"/>
        <v>4.166666666666667</v>
      </c>
      <c r="AC49" s="12" t="str">
        <f t="shared" si="7"/>
        <v>WARNING: 3 absences</v>
      </c>
      <c r="AD49" s="8">
        <v>100</v>
      </c>
      <c r="AE49" s="8"/>
      <c r="AF49" s="8">
        <v>0</v>
      </c>
      <c r="AG49" s="8">
        <v>100</v>
      </c>
      <c r="AH49" s="8"/>
      <c r="AI49" s="16">
        <f t="shared" si="8"/>
        <v>66.666666666666671</v>
      </c>
      <c r="AJ49" s="13">
        <f t="shared" si="9"/>
        <v>10.000000000000002</v>
      </c>
      <c r="AK49" s="8">
        <v>100</v>
      </c>
      <c r="AL49" s="8">
        <v>100</v>
      </c>
      <c r="AM49" s="8">
        <v>0</v>
      </c>
      <c r="AN49" s="8"/>
      <c r="AO49" s="8"/>
      <c r="AP49" s="8"/>
      <c r="AQ49" s="16">
        <f t="shared" si="10"/>
        <v>66.666666666666671</v>
      </c>
      <c r="AR49" s="13">
        <f t="shared" si="11"/>
        <v>16.666666666666668</v>
      </c>
      <c r="AS49" s="8">
        <v>100</v>
      </c>
      <c r="AT49" s="8">
        <v>0</v>
      </c>
      <c r="AU49" s="8">
        <v>0</v>
      </c>
      <c r="AV49" s="8">
        <v>0</v>
      </c>
      <c r="AW49" s="8"/>
      <c r="AX49" s="16">
        <f t="shared" si="12"/>
        <v>25</v>
      </c>
      <c r="AY49" s="13">
        <f t="shared" si="13"/>
        <v>2.5</v>
      </c>
      <c r="AZ49" s="8">
        <v>44</v>
      </c>
      <c r="BA49" s="13">
        <f t="shared" si="19"/>
        <v>17.600000000000001</v>
      </c>
      <c r="BB49" s="13"/>
      <c r="BC49" s="8"/>
      <c r="BD49" s="13" t="str">
        <f t="shared" si="14"/>
        <v/>
      </c>
      <c r="BE49" s="8"/>
      <c r="BF49" s="13" t="str">
        <f t="shared" si="15"/>
        <v/>
      </c>
      <c r="BG49" s="14">
        <f t="shared" si="16"/>
        <v>50.933333333333337</v>
      </c>
      <c r="BH49" s="15" t="str">
        <f t="shared" si="17"/>
        <v>D</v>
      </c>
      <c r="BI49" s="15" t="str">
        <f t="shared" si="18"/>
        <v>PASS</v>
      </c>
    </row>
    <row r="50" spans="1:61" ht="16" customHeight="1" x14ac:dyDescent="0.2">
      <c r="A50" s="6">
        <v>36</v>
      </c>
      <c r="B50" s="6" t="s">
        <v>323</v>
      </c>
      <c r="C50" s="7" t="s">
        <v>324</v>
      </c>
      <c r="D50" s="6" t="s">
        <v>461</v>
      </c>
      <c r="E50" s="8" t="s">
        <v>362</v>
      </c>
      <c r="F50" s="8" t="s">
        <v>362</v>
      </c>
      <c r="G50" s="8" t="s">
        <v>362</v>
      </c>
      <c r="H50" s="8" t="s">
        <v>467</v>
      </c>
      <c r="I50" s="8" t="s">
        <v>467</v>
      </c>
      <c r="J50" s="8" t="s">
        <v>467</v>
      </c>
      <c r="K50" s="8" t="s">
        <v>364</v>
      </c>
      <c r="L50" s="8" t="s">
        <v>364</v>
      </c>
      <c r="M50" s="33"/>
      <c r="N50" s="8" t="s">
        <v>362</v>
      </c>
      <c r="O50" s="8" t="s">
        <v>364</v>
      </c>
      <c r="P50" s="8" t="s">
        <v>364</v>
      </c>
      <c r="Q50" s="8"/>
      <c r="R50" s="8"/>
      <c r="S50" s="8"/>
      <c r="T50" s="8"/>
      <c r="U50" s="33"/>
      <c r="V50" s="9">
        <f t="shared" si="0"/>
        <v>4</v>
      </c>
      <c r="W50" s="9">
        <f t="shared" si="1"/>
        <v>4</v>
      </c>
      <c r="X50" s="9">
        <f t="shared" si="2"/>
        <v>0</v>
      </c>
      <c r="Y50" s="9">
        <f t="shared" si="3"/>
        <v>3</v>
      </c>
      <c r="Z50" s="9">
        <f t="shared" si="4"/>
        <v>12</v>
      </c>
      <c r="AA50" s="10">
        <f t="shared" si="5"/>
        <v>0.33333333333333331</v>
      </c>
      <c r="AB50" s="11">
        <f t="shared" si="6"/>
        <v>3.333333333333333</v>
      </c>
      <c r="AC50" s="12" t="str">
        <f t="shared" si="7"/>
        <v>MAXIMUM ABSENCES REACHED</v>
      </c>
      <c r="AD50" s="8">
        <v>100</v>
      </c>
      <c r="AE50" s="8"/>
      <c r="AF50" s="8">
        <v>0</v>
      </c>
      <c r="AG50" s="8">
        <v>0</v>
      </c>
      <c r="AH50" s="8"/>
      <c r="AI50" s="16">
        <f t="shared" si="8"/>
        <v>33.333333333333336</v>
      </c>
      <c r="AJ50" s="13">
        <f t="shared" si="9"/>
        <v>5.0000000000000009</v>
      </c>
      <c r="AK50" s="8">
        <v>100</v>
      </c>
      <c r="AL50" s="8">
        <v>100</v>
      </c>
      <c r="AM50" s="8">
        <v>0</v>
      </c>
      <c r="AN50" s="8"/>
      <c r="AO50" s="8"/>
      <c r="AP50" s="8"/>
      <c r="AQ50" s="16">
        <f t="shared" si="10"/>
        <v>66.666666666666671</v>
      </c>
      <c r="AR50" s="13">
        <f t="shared" si="11"/>
        <v>16.666666666666668</v>
      </c>
      <c r="AS50" s="8">
        <v>100</v>
      </c>
      <c r="AT50" s="8">
        <v>100</v>
      </c>
      <c r="AU50" s="8">
        <v>0</v>
      </c>
      <c r="AV50" s="8">
        <v>0</v>
      </c>
      <c r="AW50" s="8"/>
      <c r="AX50" s="16">
        <f t="shared" si="12"/>
        <v>50</v>
      </c>
      <c r="AY50" s="13">
        <f t="shared" si="13"/>
        <v>5</v>
      </c>
      <c r="AZ50" s="8">
        <v>43</v>
      </c>
      <c r="BA50" s="13">
        <f t="shared" si="19"/>
        <v>17.2</v>
      </c>
      <c r="BB50" s="13"/>
      <c r="BC50" s="8"/>
      <c r="BD50" s="13" t="str">
        <f t="shared" si="14"/>
        <v/>
      </c>
      <c r="BE50" s="8"/>
      <c r="BF50" s="13" t="str">
        <f t="shared" si="15"/>
        <v/>
      </c>
      <c r="BG50" s="14">
        <f t="shared" si="16"/>
        <v>47.2</v>
      </c>
      <c r="BH50" s="15" t="str">
        <f t="shared" si="17"/>
        <v>E/F</v>
      </c>
      <c r="BI50" s="15" t="str">
        <f t="shared" si="18"/>
        <v>NOT PASS</v>
      </c>
    </row>
  </sheetData>
  <mergeCells count="30">
    <mergeCell ref="H6:P6"/>
    <mergeCell ref="BG12:BI12"/>
    <mergeCell ref="E12:L12"/>
    <mergeCell ref="V12:AC12"/>
    <mergeCell ref="B12:B14"/>
    <mergeCell ref="N12:T12"/>
    <mergeCell ref="AS12:AY12"/>
    <mergeCell ref="AZ12:BA12"/>
    <mergeCell ref="H10:P10"/>
    <mergeCell ref="A6:F6"/>
    <mergeCell ref="H9:P9"/>
    <mergeCell ref="A7:F7"/>
    <mergeCell ref="U12:U50"/>
    <mergeCell ref="BB12:BD12"/>
    <mergeCell ref="A1:BI1"/>
    <mergeCell ref="M12:M50"/>
    <mergeCell ref="H7:P7"/>
    <mergeCell ref="BE12:BF12"/>
    <mergeCell ref="A12:A14"/>
    <mergeCell ref="AK12:AR12"/>
    <mergeCell ref="C12:C14"/>
    <mergeCell ref="AD12:AJ12"/>
    <mergeCell ref="A8:F8"/>
    <mergeCell ref="D12:D14"/>
    <mergeCell ref="A3:BI3"/>
    <mergeCell ref="A10:F10"/>
    <mergeCell ref="A2:BI2"/>
    <mergeCell ref="A9:F9"/>
    <mergeCell ref="A5:BI5"/>
    <mergeCell ref="H8:P8"/>
  </mergeCells>
  <conditionalFormatting sqref="E15:L50 N15:T50">
    <cfRule type="cellIs" dxfId="29" priority="1" operator="equal">
      <formula>"P"</formula>
    </cfRule>
    <cfRule type="cellIs" dxfId="28" priority="2" operator="equal">
      <formula>"A"</formula>
    </cfRule>
    <cfRule type="cellIs" dxfId="27" priority="3" operator="equal">
      <formula>"E"</formula>
    </cfRule>
    <cfRule type="cellIs" dxfId="26" priority="4" operator="equal">
      <formula>"NC"</formula>
    </cfRule>
  </conditionalFormatting>
  <conditionalFormatting sqref="W15:W50">
    <cfRule type="cellIs" dxfId="25" priority="5" operator="greaterThan">
      <formula>4</formula>
    </cfRule>
    <cfRule type="cellIs" dxfId="24" priority="6" operator="equal">
      <formula>4</formula>
    </cfRule>
    <cfRule type="cellIs" dxfId="23" priority="7" operator="equal">
      <formula>3</formula>
    </cfRule>
  </conditionalFormatting>
  <conditionalFormatting sqref="AC15:AC50">
    <cfRule type="cellIs" dxfId="22" priority="8" operator="equal">
      <formula>"EXCEEDED ABSENCE LIMIT"</formula>
    </cfRule>
    <cfRule type="cellIs" dxfId="21" priority="9" operator="equal">
      <formula>"MAXIMUM ABSENCES REACHED"</formula>
    </cfRule>
    <cfRule type="cellIs" dxfId="20" priority="10" operator="equal">
      <formula>"WARNING: 3 absences"</formula>
    </cfRule>
  </conditionalFormatting>
  <conditionalFormatting sqref="BG15:BG50">
    <cfRule type="expression" dxfId="19" priority="14">
      <formula>AND(BG15&gt;=50,BI15&lt;&gt;"IN PROGRESS")</formula>
    </cfRule>
    <cfRule type="expression" dxfId="18" priority="15">
      <formula>AND(BG15&lt;50,BI15&lt;&gt;"IN PROGRESS")</formula>
    </cfRule>
  </conditionalFormatting>
  <conditionalFormatting sqref="BI15:BI50">
    <cfRule type="cellIs" dxfId="17" priority="11" operator="equal">
      <formula>"PASS"</formula>
    </cfRule>
    <cfRule type="cellIs" dxfId="16" priority="12" operator="equal">
      <formula>"NOT PASS"</formula>
    </cfRule>
    <cfRule type="cellIs" dxfId="15" priority="13" operator="equal">
      <formula>"IN PROGRESS"</formula>
    </cfRule>
  </conditionalFormatting>
  <dataValidations count="2">
    <dataValidation type="list" allowBlank="1" errorTitle="Invalid attendance code" error="Enter P, A, E, or NC only." sqref="E15:T50" xr:uid="{00000000-0002-0000-0200-000000000000}">
      <formula1>"P,A,E,NC"</formula1>
    </dataValidation>
    <dataValidation type="decimal" allowBlank="1" errorTitle="Invalid score" error="Score must be between 0 and 100." sqref="AK15:AP50 BE15:BE50 BC15:BC50 AZ15:AZ50 AS15:AW50 AD15:AH50" xr:uid="{00000000-0002-0000-0200-000001000000}">
      <formula1>0</formula1>
      <formula2>100</formula2>
    </dataValidation>
  </dataValidations>
  <pageMargins left="0.3" right="0.3" top="0.4" bottom="0.4" header="0.5" footer="0.5"/>
  <pageSetup fitToHeight="0" orientation="landscape"/>
  <headerFooter>
    <oddHeader>&amp;CEnglish for Wellness Tourism — Semester Gradebook</oddHeader>
    <oddFooter>&amp;CWellness Tourism —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H47"/>
  <sheetViews>
    <sheetView showGridLines="0" workbookViewId="0">
      <pane xSplit="4" ySplit="14" topLeftCell="AO15" activePane="bottomRight" state="frozen"/>
      <selection pane="topRight"/>
      <selection pane="bottomLeft"/>
      <selection pane="bottomRight" activeCell="BH30" sqref="BH30"/>
    </sheetView>
  </sheetViews>
  <sheetFormatPr baseColWidth="10" defaultColWidth="8.83203125" defaultRowHeight="15" x14ac:dyDescent="0.2"/>
  <cols>
    <col min="1" max="1" width="4.5" customWidth="1"/>
    <col min="2" max="2" width="13" customWidth="1"/>
    <col min="3" max="3" width="26" customWidth="1"/>
    <col min="4" max="4" width="9" customWidth="1"/>
    <col min="5" max="12" width="6.1640625" customWidth="1"/>
    <col min="13" max="13" width="5.1640625" customWidth="1"/>
    <col min="14" max="20" width="6.1640625" customWidth="1"/>
    <col min="21" max="21" width="5.33203125" customWidth="1"/>
    <col min="22" max="28" width="9.5" customWidth="1"/>
    <col min="29" max="29" width="21.5" customWidth="1"/>
    <col min="30" max="34" width="7.5" customWidth="1"/>
    <col min="35" max="35" width="8" customWidth="1"/>
    <col min="36" max="36" width="8.5" customWidth="1"/>
    <col min="37" max="41" width="7.5" customWidth="1"/>
    <col min="42" max="42" width="8" customWidth="1"/>
    <col min="43" max="43" width="8.5" customWidth="1"/>
    <col min="44" max="48" width="7.5" customWidth="1"/>
    <col min="49" max="49" width="8" customWidth="1"/>
    <col min="50" max="50" width="8.5" customWidth="1"/>
    <col min="51" max="51" width="8" customWidth="1"/>
    <col min="52" max="53" width="8.5" customWidth="1"/>
    <col min="54" max="54" width="8" customWidth="1"/>
    <col min="55" max="55" width="8.5" customWidth="1"/>
    <col min="56" max="56" width="8" customWidth="1"/>
    <col min="57" max="57" width="8.5" customWidth="1"/>
    <col min="58" max="60" width="11" customWidth="1"/>
  </cols>
  <sheetData>
    <row r="1" spans="1:60" ht="2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</row>
    <row r="2" spans="1:60" x14ac:dyDescent="0.2">
      <c r="A2" s="39" t="s">
        <v>325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</row>
    <row r="3" spans="1:60" x14ac:dyDescent="0.2">
      <c r="A3" s="38" t="s">
        <v>326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5" spans="1:60" x14ac:dyDescent="0.2">
      <c r="A5" s="40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</row>
    <row r="6" spans="1:60" x14ac:dyDescent="0.2">
      <c r="A6" s="34" t="str">
        <f>"Number of Students:  "&amp;COUNTA(B15:B47)</f>
        <v>Number of Students:  33</v>
      </c>
      <c r="B6" s="31"/>
      <c r="C6" s="31"/>
      <c r="D6" s="31"/>
      <c r="E6" s="31"/>
      <c r="F6" s="31"/>
      <c r="H6" s="34" t="str">
        <f>"Students Passing:  "&amp;COUNTIF(BH15:BH47,"PASS")</f>
        <v>Students Passing:  24</v>
      </c>
      <c r="I6" s="31"/>
      <c r="J6" s="31"/>
      <c r="K6" s="31"/>
      <c r="L6" s="31"/>
      <c r="M6" s="31"/>
      <c r="N6" s="31"/>
      <c r="O6" s="31"/>
      <c r="P6" s="31"/>
    </row>
    <row r="7" spans="1:60" x14ac:dyDescent="0.2">
      <c r="A7" s="34" t="str">
        <f>"Scheduled Class Meetings:  "&amp;15</f>
        <v>Scheduled Class Meetings:  15</v>
      </c>
      <c r="B7" s="31"/>
      <c r="C7" s="31"/>
      <c r="D7" s="31"/>
      <c r="E7" s="31"/>
      <c r="F7" s="31"/>
      <c r="H7" s="34" t="str">
        <f>"Students Not Passing:  "&amp;COUNTIF(BH15:BH47,"NOT PASS")</f>
        <v>Students Not Passing:  9</v>
      </c>
      <c r="I7" s="31"/>
      <c r="J7" s="31"/>
      <c r="K7" s="31"/>
      <c r="L7" s="31"/>
      <c r="M7" s="31"/>
      <c r="N7" s="31"/>
      <c r="O7" s="31"/>
      <c r="P7" s="31"/>
    </row>
    <row r="8" spans="1:60" x14ac:dyDescent="0.2">
      <c r="A8" s="34" t="str">
        <f>"Average Attendance:  "&amp;TEXT(IFERROR(AVERAGE(AA15:AA47),0),"0.0%")</f>
        <v>Average Attendance:  46.3%</v>
      </c>
      <c r="B8" s="31"/>
      <c r="C8" s="31"/>
      <c r="D8" s="31"/>
      <c r="E8" s="31"/>
      <c r="F8" s="31"/>
      <c r="H8" s="34" t="str">
        <f>"Students At/Over 4-Absence Limit:  "&amp;COUNTIF(W15:W47,"&gt;=4")</f>
        <v>Students At/Over 4-Absence Limit:  4</v>
      </c>
      <c r="I8" s="31"/>
      <c r="J8" s="31"/>
      <c r="K8" s="31"/>
      <c r="L8" s="31"/>
      <c r="M8" s="31"/>
      <c r="N8" s="31"/>
      <c r="O8" s="31"/>
      <c r="P8" s="31"/>
    </row>
    <row r="9" spans="1:60" x14ac:dyDescent="0.2">
      <c r="A9" s="34" t="str">
        <f>"Average Speaking Score:  "&amp;TEXT(IFERROR(AVERAGE(AP15:AP47),0),"0.0")</f>
        <v>Average Speaking Score:  74.5</v>
      </c>
      <c r="B9" s="31"/>
      <c r="C9" s="31"/>
      <c r="D9" s="31"/>
      <c r="E9" s="31"/>
      <c r="F9" s="31"/>
      <c r="H9" s="34" t="str">
        <f>"Students In Progress (ungraded):  "&amp;COUNTIF(BH15:BH47,"IN PROGRESS")</f>
        <v>Students In Progress (ungraded):  0</v>
      </c>
      <c r="I9" s="31"/>
      <c r="J9" s="31"/>
      <c r="K9" s="31"/>
      <c r="L9" s="31"/>
      <c r="M9" s="31"/>
      <c r="N9" s="31"/>
      <c r="O9" s="31"/>
      <c r="P9" s="31"/>
    </row>
    <row r="10" spans="1:60" x14ac:dyDescent="0.2">
      <c r="A10" s="34" t="str">
        <f>"Average Final Grade:  "&amp;TEXT(IFERROR(AVERAGE(BF15:BF47),0),"0.00")</f>
        <v>Average Final Grade:  55.83</v>
      </c>
      <c r="B10" s="31"/>
      <c r="C10" s="31"/>
      <c r="D10" s="31"/>
      <c r="E10" s="31"/>
      <c r="F10" s="31"/>
      <c r="H10" s="34" t="str">
        <f>"Passing Grade Threshold:  "&amp;50</f>
        <v>Passing Grade Threshold:  50</v>
      </c>
      <c r="I10" s="31"/>
      <c r="J10" s="31"/>
      <c r="K10" s="31"/>
      <c r="L10" s="31"/>
      <c r="M10" s="31"/>
      <c r="N10" s="31"/>
      <c r="O10" s="31"/>
      <c r="P10" s="31"/>
    </row>
    <row r="12" spans="1:60" ht="34" customHeight="1" x14ac:dyDescent="0.2">
      <c r="A12" s="36" t="s">
        <v>4</v>
      </c>
      <c r="B12" s="36" t="s">
        <v>5</v>
      </c>
      <c r="C12" s="36" t="s">
        <v>6</v>
      </c>
      <c r="D12" s="36" t="s">
        <v>365</v>
      </c>
      <c r="E12" s="35" t="s">
        <v>7</v>
      </c>
      <c r="F12" s="31"/>
      <c r="G12" s="31"/>
      <c r="H12" s="31"/>
      <c r="I12" s="31"/>
      <c r="J12" s="31"/>
      <c r="K12" s="31"/>
      <c r="L12" s="31"/>
      <c r="M12" s="32" t="s">
        <v>8</v>
      </c>
      <c r="N12" s="35" t="s">
        <v>9</v>
      </c>
      <c r="O12" s="31"/>
      <c r="P12" s="31"/>
      <c r="Q12" s="31"/>
      <c r="R12" s="31"/>
      <c r="S12" s="31"/>
      <c r="T12" s="31"/>
      <c r="U12" s="32" t="s">
        <v>10</v>
      </c>
      <c r="V12" s="42" t="s">
        <v>11</v>
      </c>
      <c r="W12" s="31"/>
      <c r="X12" s="31"/>
      <c r="Y12" s="31"/>
      <c r="Z12" s="31"/>
      <c r="AA12" s="31"/>
      <c r="AB12" s="31"/>
      <c r="AC12" s="31"/>
      <c r="AD12" s="35" t="s">
        <v>515</v>
      </c>
      <c r="AE12" s="31"/>
      <c r="AF12" s="31"/>
      <c r="AG12" s="31"/>
      <c r="AH12" s="31"/>
      <c r="AI12" s="31"/>
      <c r="AJ12" s="31"/>
      <c r="AK12" s="35" t="s">
        <v>126</v>
      </c>
      <c r="AL12" s="31"/>
      <c r="AM12" s="31"/>
      <c r="AN12" s="31"/>
      <c r="AO12" s="31"/>
      <c r="AP12" s="31"/>
      <c r="AQ12" s="31"/>
      <c r="AR12" s="35" t="s">
        <v>127</v>
      </c>
      <c r="AS12" s="31"/>
      <c r="AT12" s="31"/>
      <c r="AU12" s="31"/>
      <c r="AV12" s="31"/>
      <c r="AW12" s="31"/>
      <c r="AX12" s="31"/>
      <c r="AY12" s="35" t="s">
        <v>13</v>
      </c>
      <c r="AZ12" s="31"/>
      <c r="BA12" s="35" t="s">
        <v>128</v>
      </c>
      <c r="BB12" s="35"/>
      <c r="BC12" s="35"/>
      <c r="BD12" s="35" t="s">
        <v>129</v>
      </c>
      <c r="BE12" s="31"/>
      <c r="BF12" s="41" t="s">
        <v>17</v>
      </c>
      <c r="BG12" s="31"/>
      <c r="BH12" s="31"/>
    </row>
    <row r="13" spans="1:60" x14ac:dyDescent="0.2">
      <c r="A13" s="37"/>
      <c r="B13" s="37"/>
      <c r="C13" s="37"/>
      <c r="D13" s="37"/>
      <c r="E13" s="22"/>
      <c r="F13" s="23"/>
      <c r="G13" s="23"/>
      <c r="H13" s="23" t="s">
        <v>482</v>
      </c>
      <c r="I13" s="23" t="s">
        <v>488</v>
      </c>
      <c r="J13" s="23" t="s">
        <v>513</v>
      </c>
      <c r="K13" s="23" t="s">
        <v>481</v>
      </c>
      <c r="L13" s="23"/>
      <c r="M13" s="32"/>
      <c r="N13" s="23" t="s">
        <v>467</v>
      </c>
      <c r="O13" s="23" t="s">
        <v>466</v>
      </c>
      <c r="P13" s="23" t="s">
        <v>363</v>
      </c>
      <c r="Q13" s="23" t="s">
        <v>470</v>
      </c>
      <c r="R13" s="23" t="s">
        <v>491</v>
      </c>
      <c r="S13" s="23" t="s">
        <v>468</v>
      </c>
      <c r="T13" s="23" t="s">
        <v>492</v>
      </c>
      <c r="U13" s="32"/>
      <c r="V13" s="22"/>
      <c r="AD13" s="23" t="s">
        <v>517</v>
      </c>
      <c r="AE13" s="23" t="s">
        <v>513</v>
      </c>
      <c r="AF13" s="23" t="s">
        <v>481</v>
      </c>
      <c r="AG13" s="23"/>
      <c r="AH13" s="23"/>
      <c r="AI13" s="23"/>
      <c r="AJ13" s="23"/>
      <c r="AK13" s="23" t="s">
        <v>514</v>
      </c>
      <c r="AL13" s="23" t="s">
        <v>478</v>
      </c>
      <c r="AM13" s="23" t="s">
        <v>513</v>
      </c>
      <c r="AN13" s="23"/>
      <c r="AO13" s="23" t="s">
        <v>518</v>
      </c>
      <c r="AP13" s="23"/>
      <c r="AQ13" s="23"/>
      <c r="AR13" s="23" t="s">
        <v>514</v>
      </c>
      <c r="AS13" s="23" t="s">
        <v>478</v>
      </c>
      <c r="AT13" s="23" t="s">
        <v>363</v>
      </c>
      <c r="AU13" s="23"/>
      <c r="AV13" s="23"/>
      <c r="AW13" s="23"/>
      <c r="AX13" s="23"/>
      <c r="AY13" s="22"/>
      <c r="AZ13" s="23"/>
      <c r="BA13" s="23"/>
      <c r="BB13" s="22"/>
      <c r="BC13" s="23"/>
      <c r="BD13" s="22"/>
      <c r="BE13" s="23"/>
      <c r="BF13" s="22"/>
      <c r="BG13" s="23"/>
      <c r="BH13" s="23"/>
    </row>
    <row r="14" spans="1:60" ht="30" customHeight="1" x14ac:dyDescent="0.2">
      <c r="A14" s="31"/>
      <c r="B14" s="31"/>
      <c r="C14" s="31"/>
      <c r="D14" s="31"/>
      <c r="E14" s="1" t="s">
        <v>327</v>
      </c>
      <c r="F14" s="1" t="s">
        <v>328</v>
      </c>
      <c r="G14" s="1" t="s">
        <v>329</v>
      </c>
      <c r="H14" s="1" t="s">
        <v>330</v>
      </c>
      <c r="I14" s="1" t="s">
        <v>331</v>
      </c>
      <c r="J14" s="1" t="s">
        <v>332</v>
      </c>
      <c r="K14" s="1" t="s">
        <v>333</v>
      </c>
      <c r="L14" s="1" t="s">
        <v>334</v>
      </c>
      <c r="M14" s="31"/>
      <c r="N14" s="1" t="s">
        <v>335</v>
      </c>
      <c r="O14" s="1" t="s">
        <v>336</v>
      </c>
      <c r="P14" s="1" t="s">
        <v>337</v>
      </c>
      <c r="Q14" s="1" t="s">
        <v>338</v>
      </c>
      <c r="R14" s="1" t="s">
        <v>339</v>
      </c>
      <c r="S14" s="1" t="s">
        <v>340</v>
      </c>
      <c r="T14" s="1" t="s">
        <v>341</v>
      </c>
      <c r="U14" s="31"/>
      <c r="V14" s="2" t="s">
        <v>33</v>
      </c>
      <c r="W14" s="2" t="s">
        <v>34</v>
      </c>
      <c r="X14" s="2" t="s">
        <v>35</v>
      </c>
      <c r="Y14" s="2" t="s">
        <v>36</v>
      </c>
      <c r="Z14" s="2" t="s">
        <v>37</v>
      </c>
      <c r="AA14" s="2" t="s">
        <v>38</v>
      </c>
      <c r="AB14" s="2" t="s">
        <v>39</v>
      </c>
      <c r="AC14" s="2" t="s">
        <v>40</v>
      </c>
      <c r="AD14" s="3" t="s">
        <v>145</v>
      </c>
      <c r="AE14" s="3" t="s">
        <v>146</v>
      </c>
      <c r="AF14" s="3" t="s">
        <v>147</v>
      </c>
      <c r="AG14" s="3" t="s">
        <v>148</v>
      </c>
      <c r="AH14" s="3" t="s">
        <v>149</v>
      </c>
      <c r="AI14" s="4" t="s">
        <v>150</v>
      </c>
      <c r="AJ14" s="4" t="s">
        <v>44</v>
      </c>
      <c r="AK14" s="3" t="s">
        <v>151</v>
      </c>
      <c r="AL14" s="3" t="s">
        <v>152</v>
      </c>
      <c r="AM14" s="3" t="s">
        <v>153</v>
      </c>
      <c r="AN14" s="3" t="s">
        <v>154</v>
      </c>
      <c r="AO14" s="3" t="s">
        <v>155</v>
      </c>
      <c r="AP14" s="4" t="s">
        <v>150</v>
      </c>
      <c r="AQ14" s="4" t="s">
        <v>156</v>
      </c>
      <c r="AR14" s="3" t="s">
        <v>151</v>
      </c>
      <c r="AS14" s="3" t="s">
        <v>152</v>
      </c>
      <c r="AT14" s="3" t="s">
        <v>153</v>
      </c>
      <c r="AU14" s="3" t="s">
        <v>154</v>
      </c>
      <c r="AV14" s="3" t="s">
        <v>155</v>
      </c>
      <c r="AW14" s="4" t="s">
        <v>150</v>
      </c>
      <c r="AX14" s="4" t="s">
        <v>42</v>
      </c>
      <c r="AY14" s="3" t="s">
        <v>469</v>
      </c>
      <c r="AZ14" s="4" t="s">
        <v>43</v>
      </c>
      <c r="BA14" s="4" t="s">
        <v>512</v>
      </c>
      <c r="BB14" s="3" t="s">
        <v>41</v>
      </c>
      <c r="BC14" s="4" t="s">
        <v>42</v>
      </c>
      <c r="BD14" s="3" t="s">
        <v>41</v>
      </c>
      <c r="BE14" s="4" t="s">
        <v>42</v>
      </c>
      <c r="BF14" s="5" t="s">
        <v>46</v>
      </c>
      <c r="BG14" s="5" t="s">
        <v>47</v>
      </c>
      <c r="BH14" s="5" t="s">
        <v>48</v>
      </c>
    </row>
    <row r="15" spans="1:60" ht="16" customHeight="1" x14ac:dyDescent="0.2">
      <c r="A15" s="6">
        <v>1</v>
      </c>
      <c r="B15" s="6" t="s">
        <v>253</v>
      </c>
      <c r="C15" s="7" t="s">
        <v>254</v>
      </c>
      <c r="D15" s="6" t="s">
        <v>441</v>
      </c>
      <c r="E15" s="8" t="s">
        <v>362</v>
      </c>
      <c r="F15" s="8" t="s">
        <v>364</v>
      </c>
      <c r="G15" s="8" t="s">
        <v>362</v>
      </c>
      <c r="H15" s="8" t="s">
        <v>467</v>
      </c>
      <c r="I15" s="8" t="s">
        <v>467</v>
      </c>
      <c r="J15" s="8" t="s">
        <v>362</v>
      </c>
      <c r="K15" s="8" t="s">
        <v>364</v>
      </c>
      <c r="L15" s="8" t="s">
        <v>467</v>
      </c>
      <c r="M15" s="33"/>
      <c r="N15" s="8" t="s">
        <v>467</v>
      </c>
      <c r="O15" s="8" t="s">
        <v>362</v>
      </c>
      <c r="P15" s="8" t="s">
        <v>362</v>
      </c>
      <c r="Q15" s="8"/>
      <c r="R15" s="8"/>
      <c r="S15" s="8"/>
      <c r="T15" s="8"/>
      <c r="U15" s="33"/>
      <c r="V15" s="9">
        <f t="shared" ref="V15:V47" si="0">COUNTIF(E15:L15,"P")+COUNTIF(N15:T15,"P")</f>
        <v>5</v>
      </c>
      <c r="W15" s="9">
        <f t="shared" ref="W15:W47" si="1">COUNTIF(E15:L15,"A")+COUNTIF(N15:T15,"A")</f>
        <v>2</v>
      </c>
      <c r="X15" s="9">
        <f t="shared" ref="X15:X47" si="2">COUNTIF(E15:L15,"E")+COUNTIF(N15:T15,"E")</f>
        <v>0</v>
      </c>
      <c r="Y15" s="9">
        <f t="shared" ref="Y15:Y47" si="3">COUNTIF(E15:L15,"NC")+COUNTIF(N15:T15,"NC")</f>
        <v>4</v>
      </c>
      <c r="Z15" s="9">
        <f t="shared" ref="Z15:Z47" si="4">15-Y15</f>
        <v>11</v>
      </c>
      <c r="AA15" s="10">
        <f t="shared" ref="AA15:AA47" si="5">IF(Z15=0,"",(V15+X15)/Z15)</f>
        <v>0.45454545454545453</v>
      </c>
      <c r="AB15" s="11">
        <f t="shared" ref="AB15:AB47" si="6">IF(AA15="","",AA15*10)</f>
        <v>4.545454545454545</v>
      </c>
      <c r="AC15" s="12" t="str">
        <f t="shared" ref="AC15:AC47" si="7">IF(W15&gt;4,"EXCEEDED ABSENCE LIMIT",IF(W15=4,"MAXIMUM ABSENCES REACHED",IF(W15=3,"WARNING: 3 absences","OK")))</f>
        <v>OK</v>
      </c>
      <c r="AD15" s="8">
        <v>90</v>
      </c>
      <c r="AE15" s="8">
        <v>100</v>
      </c>
      <c r="AF15" s="8">
        <v>83</v>
      </c>
      <c r="AG15" s="8"/>
      <c r="AH15" s="8"/>
      <c r="AI15" s="16">
        <f t="shared" ref="AI15:AI47" si="8">IFERROR(AVERAGE(AD15:AH15),"")</f>
        <v>91</v>
      </c>
      <c r="AJ15" s="13">
        <f t="shared" ref="AJ15:AJ47" si="9">IF(AI15="","",AI15/100*15)</f>
        <v>13.65</v>
      </c>
      <c r="AK15" s="8">
        <v>100</v>
      </c>
      <c r="AL15" s="8">
        <v>100</v>
      </c>
      <c r="AM15" s="8">
        <v>100</v>
      </c>
      <c r="AN15" s="8"/>
      <c r="AO15" s="8"/>
      <c r="AP15" s="16">
        <f t="shared" ref="AP15:AP47" si="10">IFERROR(AVERAGE(AK15:AO15),"")</f>
        <v>100</v>
      </c>
      <c r="AQ15" s="13">
        <f t="shared" ref="AQ15:AQ47" si="11">IF(AP15="","",AP15/100*25)</f>
        <v>25</v>
      </c>
      <c r="AR15" s="8">
        <v>100</v>
      </c>
      <c r="AS15" s="8">
        <v>0</v>
      </c>
      <c r="AT15" s="8">
        <v>100</v>
      </c>
      <c r="AU15" s="8"/>
      <c r="AV15" s="8"/>
      <c r="AW15" s="16">
        <f t="shared" ref="AW15:AW47" si="12">IFERROR(AVERAGE(AR15:AV15),"")</f>
        <v>66.666666666666671</v>
      </c>
      <c r="AX15" s="13">
        <f t="shared" ref="AX15:AX47" si="13">IF(AW15="","",AW15/100*10)</f>
        <v>6.6666666666666679</v>
      </c>
      <c r="AY15" s="8">
        <v>45</v>
      </c>
      <c r="AZ15" s="13">
        <f>IF(AY15="","",AY15/50*20)</f>
        <v>18</v>
      </c>
      <c r="BA15" s="13">
        <v>5</v>
      </c>
      <c r="BB15" s="8"/>
      <c r="BC15" s="13" t="str">
        <f t="shared" ref="BC15:BC47" si="14">IF(BB15="","",BB15/100*10)</f>
        <v/>
      </c>
      <c r="BD15" s="8"/>
      <c r="BE15" s="13" t="str">
        <f t="shared" ref="BE15:BE47" si="15">IF(BD15="","",BD15/100*10)</f>
        <v/>
      </c>
      <c r="BF15" s="14">
        <f t="shared" ref="BF15:BF47" si="16">SUM(AB15,AJ15,AQ15,AX15,AZ15,BC15,BE15)</f>
        <v>67.86212121212121</v>
      </c>
      <c r="BG15" s="15" t="str">
        <f t="shared" ref="BG15:BG47" si="17">IF(BF15=0,"—",IF(BF15&gt;=80,"A",IF(BF15&gt;=75,"B+",IF(BF15&gt;=70,"B",IF(BF15&gt;=65,"C+",IF(BF15&gt;=60,"C",IF(BF15&gt;=55,"D+",IF(BF15&gt;=50,"D","E/F"))))))))</f>
        <v>C+</v>
      </c>
      <c r="BH15" s="15" t="str">
        <f t="shared" ref="BH15:BH47" si="18">IF(BF15=0,"IN PROGRESS",IF(BF15&gt;=50,"PASS","NOT PASS"))</f>
        <v>PASS</v>
      </c>
    </row>
    <row r="16" spans="1:60" ht="16" customHeight="1" x14ac:dyDescent="0.2">
      <c r="A16" s="6">
        <v>2</v>
      </c>
      <c r="B16" s="6" t="s">
        <v>255</v>
      </c>
      <c r="C16" s="7" t="s">
        <v>256</v>
      </c>
      <c r="D16" s="6" t="s">
        <v>442</v>
      </c>
      <c r="E16" s="8" t="s">
        <v>362</v>
      </c>
      <c r="F16" s="8" t="s">
        <v>364</v>
      </c>
      <c r="G16" s="8" t="s">
        <v>364</v>
      </c>
      <c r="H16" s="8" t="s">
        <v>467</v>
      </c>
      <c r="I16" s="8" t="s">
        <v>467</v>
      </c>
      <c r="J16" s="8" t="s">
        <v>364</v>
      </c>
      <c r="K16" s="8" t="s">
        <v>362</v>
      </c>
      <c r="L16" s="8" t="s">
        <v>467</v>
      </c>
      <c r="M16" s="33"/>
      <c r="N16" s="8" t="s">
        <v>467</v>
      </c>
      <c r="O16" s="8" t="s">
        <v>362</v>
      </c>
      <c r="P16" s="8" t="s">
        <v>362</v>
      </c>
      <c r="Q16" s="8"/>
      <c r="R16" s="8"/>
      <c r="S16" s="8"/>
      <c r="T16" s="8"/>
      <c r="U16" s="33"/>
      <c r="V16" s="9">
        <f t="shared" si="0"/>
        <v>4</v>
      </c>
      <c r="W16" s="9">
        <f t="shared" si="1"/>
        <v>3</v>
      </c>
      <c r="X16" s="9">
        <f t="shared" si="2"/>
        <v>0</v>
      </c>
      <c r="Y16" s="9">
        <f t="shared" si="3"/>
        <v>4</v>
      </c>
      <c r="Z16" s="9">
        <f t="shared" si="4"/>
        <v>11</v>
      </c>
      <c r="AA16" s="10">
        <f t="shared" si="5"/>
        <v>0.36363636363636365</v>
      </c>
      <c r="AB16" s="11">
        <f t="shared" si="6"/>
        <v>3.6363636363636367</v>
      </c>
      <c r="AC16" s="12" t="str">
        <f t="shared" si="7"/>
        <v>WARNING: 3 absences</v>
      </c>
      <c r="AD16" s="8">
        <v>90</v>
      </c>
      <c r="AE16" s="8">
        <v>0</v>
      </c>
      <c r="AF16" s="8">
        <v>0</v>
      </c>
      <c r="AG16" s="8"/>
      <c r="AH16" s="8"/>
      <c r="AI16" s="16">
        <f t="shared" si="8"/>
        <v>30</v>
      </c>
      <c r="AJ16" s="13">
        <f t="shared" si="9"/>
        <v>4.5</v>
      </c>
      <c r="AK16" s="8">
        <v>100</v>
      </c>
      <c r="AL16" s="8">
        <v>0</v>
      </c>
      <c r="AM16" s="8">
        <v>0</v>
      </c>
      <c r="AN16" s="8"/>
      <c r="AO16" s="8"/>
      <c r="AP16" s="16">
        <f t="shared" si="10"/>
        <v>33.333333333333336</v>
      </c>
      <c r="AQ16" s="13">
        <f t="shared" si="11"/>
        <v>8.3333333333333339</v>
      </c>
      <c r="AR16" s="8">
        <v>100</v>
      </c>
      <c r="AS16" s="8">
        <v>0</v>
      </c>
      <c r="AT16" s="8">
        <v>90</v>
      </c>
      <c r="AU16" s="8"/>
      <c r="AV16" s="8"/>
      <c r="AW16" s="16">
        <f t="shared" si="12"/>
        <v>63.333333333333336</v>
      </c>
      <c r="AX16" s="13">
        <f t="shared" si="13"/>
        <v>6.333333333333333</v>
      </c>
      <c r="AY16" s="8">
        <v>47</v>
      </c>
      <c r="AZ16" s="13">
        <f t="shared" ref="AZ16:AZ47" si="19">IF(AY16="","",AY16/50*20)</f>
        <v>18.799999999999997</v>
      </c>
      <c r="BA16" s="13">
        <v>3</v>
      </c>
      <c r="BB16" s="8"/>
      <c r="BC16" s="13" t="str">
        <f t="shared" si="14"/>
        <v/>
      </c>
      <c r="BD16" s="8"/>
      <c r="BE16" s="13" t="str">
        <f t="shared" si="15"/>
        <v/>
      </c>
      <c r="BF16" s="14">
        <f t="shared" si="16"/>
        <v>41.603030303030295</v>
      </c>
      <c r="BG16" s="15" t="str">
        <f t="shared" si="17"/>
        <v>E/F</v>
      </c>
      <c r="BH16" s="15" t="str">
        <f t="shared" si="18"/>
        <v>NOT PASS</v>
      </c>
    </row>
    <row r="17" spans="1:60" ht="16" customHeight="1" x14ac:dyDescent="0.2">
      <c r="A17" s="6">
        <v>3</v>
      </c>
      <c r="B17" s="6" t="s">
        <v>259</v>
      </c>
      <c r="C17" s="7" t="s">
        <v>260</v>
      </c>
      <c r="D17" s="6" t="s">
        <v>393</v>
      </c>
      <c r="E17" s="8" t="s">
        <v>362</v>
      </c>
      <c r="F17" s="8" t="s">
        <v>362</v>
      </c>
      <c r="G17" s="8" t="s">
        <v>362</v>
      </c>
      <c r="H17" s="8" t="s">
        <v>467</v>
      </c>
      <c r="I17" s="8" t="s">
        <v>467</v>
      </c>
      <c r="J17" s="8" t="s">
        <v>362</v>
      </c>
      <c r="K17" s="8" t="s">
        <v>364</v>
      </c>
      <c r="L17" s="8" t="s">
        <v>467</v>
      </c>
      <c r="M17" s="33"/>
      <c r="N17" s="8" t="s">
        <v>467</v>
      </c>
      <c r="O17" s="8" t="s">
        <v>364</v>
      </c>
      <c r="P17" s="8" t="s">
        <v>362</v>
      </c>
      <c r="Q17" s="8"/>
      <c r="R17" s="8"/>
      <c r="S17" s="8"/>
      <c r="T17" s="8"/>
      <c r="U17" s="33"/>
      <c r="V17" s="9">
        <f t="shared" si="0"/>
        <v>5</v>
      </c>
      <c r="W17" s="9">
        <f t="shared" si="1"/>
        <v>2</v>
      </c>
      <c r="X17" s="9">
        <f t="shared" si="2"/>
        <v>0</v>
      </c>
      <c r="Y17" s="9">
        <f t="shared" si="3"/>
        <v>4</v>
      </c>
      <c r="Z17" s="9">
        <f t="shared" si="4"/>
        <v>11</v>
      </c>
      <c r="AA17" s="10">
        <f t="shared" si="5"/>
        <v>0.45454545454545453</v>
      </c>
      <c r="AB17" s="11">
        <f t="shared" si="6"/>
        <v>4.545454545454545</v>
      </c>
      <c r="AC17" s="12" t="str">
        <f t="shared" si="7"/>
        <v>OK</v>
      </c>
      <c r="AD17" s="8">
        <v>90</v>
      </c>
      <c r="AE17" s="8">
        <v>100</v>
      </c>
      <c r="AF17" s="8">
        <v>0</v>
      </c>
      <c r="AG17" s="8"/>
      <c r="AH17" s="8"/>
      <c r="AI17" s="16">
        <f t="shared" si="8"/>
        <v>63.333333333333336</v>
      </c>
      <c r="AJ17" s="13">
        <f t="shared" si="9"/>
        <v>9.5</v>
      </c>
      <c r="AK17" s="8">
        <v>100</v>
      </c>
      <c r="AL17" s="8">
        <v>100</v>
      </c>
      <c r="AM17" s="8">
        <v>100</v>
      </c>
      <c r="AN17" s="8"/>
      <c r="AO17" s="8"/>
      <c r="AP17" s="16">
        <f t="shared" si="10"/>
        <v>100</v>
      </c>
      <c r="AQ17" s="13">
        <f t="shared" si="11"/>
        <v>25</v>
      </c>
      <c r="AR17" s="8">
        <v>100</v>
      </c>
      <c r="AS17" s="8">
        <v>100</v>
      </c>
      <c r="AT17" s="8">
        <v>100</v>
      </c>
      <c r="AU17" s="8"/>
      <c r="AV17" s="8"/>
      <c r="AW17" s="16">
        <f t="shared" si="12"/>
        <v>100</v>
      </c>
      <c r="AX17" s="13">
        <f t="shared" si="13"/>
        <v>10</v>
      </c>
      <c r="AY17" s="8">
        <v>45</v>
      </c>
      <c r="AZ17" s="13">
        <f t="shared" si="19"/>
        <v>18</v>
      </c>
      <c r="BA17" s="13">
        <v>3</v>
      </c>
      <c r="BB17" s="8"/>
      <c r="BC17" s="13" t="str">
        <f t="shared" si="14"/>
        <v/>
      </c>
      <c r="BD17" s="8"/>
      <c r="BE17" s="13" t="str">
        <f t="shared" si="15"/>
        <v/>
      </c>
      <c r="BF17" s="14">
        <f t="shared" si="16"/>
        <v>67.045454545454547</v>
      </c>
      <c r="BG17" s="15" t="str">
        <f t="shared" si="17"/>
        <v>C+</v>
      </c>
      <c r="BH17" s="15" t="str">
        <f t="shared" si="18"/>
        <v>PASS</v>
      </c>
    </row>
    <row r="18" spans="1:60" ht="16" customHeight="1" x14ac:dyDescent="0.2">
      <c r="A18" s="6">
        <v>4</v>
      </c>
      <c r="B18" s="6" t="s">
        <v>261</v>
      </c>
      <c r="C18" s="7" t="s">
        <v>262</v>
      </c>
      <c r="D18" s="6" t="s">
        <v>374</v>
      </c>
      <c r="E18" s="8" t="s">
        <v>362</v>
      </c>
      <c r="F18" s="8" t="s">
        <v>362</v>
      </c>
      <c r="G18" s="8" t="s">
        <v>364</v>
      </c>
      <c r="H18" s="8" t="s">
        <v>467</v>
      </c>
      <c r="I18" s="8" t="s">
        <v>467</v>
      </c>
      <c r="J18" s="8" t="s">
        <v>362</v>
      </c>
      <c r="K18" s="8" t="s">
        <v>364</v>
      </c>
      <c r="L18" s="8" t="s">
        <v>467</v>
      </c>
      <c r="M18" s="33"/>
      <c r="N18" s="8" t="s">
        <v>467</v>
      </c>
      <c r="O18" s="8" t="s">
        <v>364</v>
      </c>
      <c r="P18" s="8" t="s">
        <v>362</v>
      </c>
      <c r="Q18" s="8"/>
      <c r="R18" s="8"/>
      <c r="S18" s="8"/>
      <c r="T18" s="8"/>
      <c r="U18" s="33"/>
      <c r="V18" s="9">
        <f t="shared" si="0"/>
        <v>4</v>
      </c>
      <c r="W18" s="9">
        <f t="shared" si="1"/>
        <v>3</v>
      </c>
      <c r="X18" s="9">
        <f t="shared" si="2"/>
        <v>0</v>
      </c>
      <c r="Y18" s="9">
        <f t="shared" si="3"/>
        <v>4</v>
      </c>
      <c r="Z18" s="9">
        <f t="shared" si="4"/>
        <v>11</v>
      </c>
      <c r="AA18" s="10">
        <f t="shared" si="5"/>
        <v>0.36363636363636365</v>
      </c>
      <c r="AB18" s="11">
        <f t="shared" si="6"/>
        <v>3.6363636363636367</v>
      </c>
      <c r="AC18" s="12" t="str">
        <f t="shared" si="7"/>
        <v>WARNING: 3 absences</v>
      </c>
      <c r="AD18" s="8">
        <v>90</v>
      </c>
      <c r="AE18" s="8">
        <v>0</v>
      </c>
      <c r="AF18" s="8">
        <v>0</v>
      </c>
      <c r="AG18" s="8"/>
      <c r="AH18" s="8"/>
      <c r="AI18" s="16">
        <f t="shared" si="8"/>
        <v>30</v>
      </c>
      <c r="AJ18" s="13">
        <f t="shared" si="9"/>
        <v>4.5</v>
      </c>
      <c r="AK18" s="8">
        <v>100</v>
      </c>
      <c r="AL18" s="8">
        <v>0</v>
      </c>
      <c r="AM18" s="8">
        <v>0</v>
      </c>
      <c r="AN18" s="8"/>
      <c r="AO18" s="8"/>
      <c r="AP18" s="16">
        <f t="shared" si="10"/>
        <v>33.333333333333336</v>
      </c>
      <c r="AQ18" s="13">
        <f t="shared" si="11"/>
        <v>8.3333333333333339</v>
      </c>
      <c r="AR18" s="8">
        <v>100</v>
      </c>
      <c r="AS18" s="8">
        <v>100</v>
      </c>
      <c r="AT18" s="8">
        <v>100</v>
      </c>
      <c r="AU18" s="8"/>
      <c r="AV18" s="8"/>
      <c r="AW18" s="16">
        <f t="shared" si="12"/>
        <v>100</v>
      </c>
      <c r="AX18" s="13">
        <f t="shared" si="13"/>
        <v>10</v>
      </c>
      <c r="AY18" s="8">
        <v>45</v>
      </c>
      <c r="AZ18" s="13">
        <f t="shared" si="19"/>
        <v>18</v>
      </c>
      <c r="BA18" s="13">
        <v>3</v>
      </c>
      <c r="BB18" s="8"/>
      <c r="BC18" s="13" t="str">
        <f t="shared" si="14"/>
        <v/>
      </c>
      <c r="BD18" s="8"/>
      <c r="BE18" s="13" t="str">
        <f t="shared" si="15"/>
        <v/>
      </c>
      <c r="BF18" s="14">
        <f t="shared" si="16"/>
        <v>44.469696969696969</v>
      </c>
      <c r="BG18" s="15" t="str">
        <f t="shared" si="17"/>
        <v>E/F</v>
      </c>
      <c r="BH18" s="15" t="str">
        <f t="shared" si="18"/>
        <v>NOT PASS</v>
      </c>
    </row>
    <row r="19" spans="1:60" ht="16" customHeight="1" x14ac:dyDescent="0.2">
      <c r="A19" s="6">
        <v>5</v>
      </c>
      <c r="B19" s="6" t="s">
        <v>263</v>
      </c>
      <c r="C19" s="7" t="s">
        <v>264</v>
      </c>
      <c r="D19" s="6" t="s">
        <v>443</v>
      </c>
      <c r="E19" s="8" t="s">
        <v>362</v>
      </c>
      <c r="F19" s="8" t="s">
        <v>364</v>
      </c>
      <c r="G19" s="8" t="s">
        <v>362</v>
      </c>
      <c r="H19" s="8" t="s">
        <v>467</v>
      </c>
      <c r="I19" s="8" t="s">
        <v>467</v>
      </c>
      <c r="J19" s="8" t="s">
        <v>362</v>
      </c>
      <c r="K19" s="8" t="s">
        <v>364</v>
      </c>
      <c r="L19" s="8" t="s">
        <v>467</v>
      </c>
      <c r="M19" s="33"/>
      <c r="N19" s="8" t="s">
        <v>467</v>
      </c>
      <c r="O19" s="8" t="s">
        <v>362</v>
      </c>
      <c r="P19" s="8" t="s">
        <v>362</v>
      </c>
      <c r="Q19" s="8"/>
      <c r="R19" s="8"/>
      <c r="S19" s="8"/>
      <c r="T19" s="8"/>
      <c r="U19" s="33"/>
      <c r="V19" s="9">
        <f t="shared" si="0"/>
        <v>5</v>
      </c>
      <c r="W19" s="9">
        <f t="shared" si="1"/>
        <v>2</v>
      </c>
      <c r="X19" s="9">
        <f t="shared" si="2"/>
        <v>0</v>
      </c>
      <c r="Y19" s="9">
        <f t="shared" si="3"/>
        <v>4</v>
      </c>
      <c r="Z19" s="9">
        <f t="shared" si="4"/>
        <v>11</v>
      </c>
      <c r="AA19" s="10">
        <f t="shared" si="5"/>
        <v>0.45454545454545453</v>
      </c>
      <c r="AB19" s="11">
        <f t="shared" si="6"/>
        <v>4.545454545454545</v>
      </c>
      <c r="AC19" s="12" t="str">
        <f t="shared" si="7"/>
        <v>OK</v>
      </c>
      <c r="AD19" s="8">
        <v>90</v>
      </c>
      <c r="AE19" s="8">
        <v>100</v>
      </c>
      <c r="AF19" s="8">
        <v>0</v>
      </c>
      <c r="AG19" s="8"/>
      <c r="AH19" s="8"/>
      <c r="AI19" s="16">
        <f t="shared" si="8"/>
        <v>63.333333333333336</v>
      </c>
      <c r="AJ19" s="13">
        <f t="shared" si="9"/>
        <v>9.5</v>
      </c>
      <c r="AK19" s="8">
        <v>100</v>
      </c>
      <c r="AL19" s="8">
        <v>100</v>
      </c>
      <c r="AM19" s="8">
        <v>100</v>
      </c>
      <c r="AN19" s="8"/>
      <c r="AO19" s="8"/>
      <c r="AP19" s="16">
        <f t="shared" si="10"/>
        <v>100</v>
      </c>
      <c r="AQ19" s="13">
        <f t="shared" si="11"/>
        <v>25</v>
      </c>
      <c r="AR19" s="8">
        <v>100</v>
      </c>
      <c r="AS19" s="8">
        <v>0</v>
      </c>
      <c r="AT19" s="8">
        <v>100</v>
      </c>
      <c r="AU19" s="8"/>
      <c r="AV19" s="8"/>
      <c r="AW19" s="16">
        <f t="shared" si="12"/>
        <v>66.666666666666671</v>
      </c>
      <c r="AX19" s="13">
        <f t="shared" si="13"/>
        <v>6.6666666666666679</v>
      </c>
      <c r="AY19" s="8">
        <v>45</v>
      </c>
      <c r="AZ19" s="13">
        <f t="shared" si="19"/>
        <v>18</v>
      </c>
      <c r="BA19" s="13">
        <v>5</v>
      </c>
      <c r="BB19" s="8"/>
      <c r="BC19" s="13" t="str">
        <f t="shared" si="14"/>
        <v/>
      </c>
      <c r="BD19" s="8"/>
      <c r="BE19" s="13" t="str">
        <f t="shared" si="15"/>
        <v/>
      </c>
      <c r="BF19" s="14">
        <f t="shared" si="16"/>
        <v>63.712121212121218</v>
      </c>
      <c r="BG19" s="15" t="str">
        <f t="shared" si="17"/>
        <v>C</v>
      </c>
      <c r="BH19" s="15" t="str">
        <f t="shared" si="18"/>
        <v>PASS</v>
      </c>
    </row>
    <row r="20" spans="1:60" ht="16" customHeight="1" x14ac:dyDescent="0.2">
      <c r="A20" s="6">
        <v>6</v>
      </c>
      <c r="B20" s="6" t="s">
        <v>267</v>
      </c>
      <c r="C20" s="7" t="s">
        <v>268</v>
      </c>
      <c r="D20" s="6" t="s">
        <v>444</v>
      </c>
      <c r="E20" s="8" t="s">
        <v>362</v>
      </c>
      <c r="F20" s="8" t="s">
        <v>362</v>
      </c>
      <c r="G20" s="8" t="s">
        <v>362</v>
      </c>
      <c r="H20" s="8" t="s">
        <v>467</v>
      </c>
      <c r="I20" s="8" t="s">
        <v>467</v>
      </c>
      <c r="J20" s="8" t="s">
        <v>362</v>
      </c>
      <c r="K20" s="8" t="s">
        <v>362</v>
      </c>
      <c r="L20" s="8" t="s">
        <v>467</v>
      </c>
      <c r="M20" s="33"/>
      <c r="N20" s="8" t="s">
        <v>467</v>
      </c>
      <c r="O20" s="8" t="s">
        <v>362</v>
      </c>
      <c r="P20" s="8" t="s">
        <v>364</v>
      </c>
      <c r="Q20" s="8"/>
      <c r="R20" s="8"/>
      <c r="S20" s="8"/>
      <c r="T20" s="8"/>
      <c r="U20" s="33"/>
      <c r="V20" s="9">
        <f t="shared" si="0"/>
        <v>6</v>
      </c>
      <c r="W20" s="9">
        <f t="shared" si="1"/>
        <v>1</v>
      </c>
      <c r="X20" s="9">
        <f t="shared" si="2"/>
        <v>0</v>
      </c>
      <c r="Y20" s="9">
        <f t="shared" si="3"/>
        <v>4</v>
      </c>
      <c r="Z20" s="9">
        <f t="shared" si="4"/>
        <v>11</v>
      </c>
      <c r="AA20" s="10">
        <f t="shared" si="5"/>
        <v>0.54545454545454541</v>
      </c>
      <c r="AB20" s="11">
        <f t="shared" si="6"/>
        <v>5.4545454545454541</v>
      </c>
      <c r="AC20" s="12" t="str">
        <f t="shared" si="7"/>
        <v>OK</v>
      </c>
      <c r="AD20" s="8">
        <v>90</v>
      </c>
      <c r="AE20" s="8">
        <v>0</v>
      </c>
      <c r="AF20" s="8">
        <v>0</v>
      </c>
      <c r="AG20" s="8"/>
      <c r="AH20" s="8"/>
      <c r="AI20" s="16">
        <f t="shared" si="8"/>
        <v>30</v>
      </c>
      <c r="AJ20" s="13">
        <f t="shared" si="9"/>
        <v>4.5</v>
      </c>
      <c r="AK20" s="8">
        <v>100</v>
      </c>
      <c r="AL20" s="8">
        <v>100</v>
      </c>
      <c r="AM20" s="8">
        <v>0</v>
      </c>
      <c r="AN20" s="8"/>
      <c r="AO20" s="8">
        <v>100</v>
      </c>
      <c r="AP20" s="16">
        <f t="shared" si="10"/>
        <v>75</v>
      </c>
      <c r="AQ20" s="13">
        <f t="shared" si="11"/>
        <v>18.75</v>
      </c>
      <c r="AR20" s="8">
        <v>100</v>
      </c>
      <c r="AS20" s="8">
        <v>100</v>
      </c>
      <c r="AT20" s="8">
        <v>0</v>
      </c>
      <c r="AU20" s="8"/>
      <c r="AV20" s="8"/>
      <c r="AW20" s="16">
        <f t="shared" si="12"/>
        <v>66.666666666666671</v>
      </c>
      <c r="AX20" s="13">
        <f t="shared" si="13"/>
        <v>6.6666666666666679</v>
      </c>
      <c r="AY20" s="8">
        <v>42</v>
      </c>
      <c r="AZ20" s="13">
        <f t="shared" si="19"/>
        <v>16.8</v>
      </c>
      <c r="BA20" s="13">
        <v>5</v>
      </c>
      <c r="BB20" s="8"/>
      <c r="BC20" s="13" t="str">
        <f t="shared" si="14"/>
        <v/>
      </c>
      <c r="BD20" s="8"/>
      <c r="BE20" s="13" t="str">
        <f t="shared" si="15"/>
        <v/>
      </c>
      <c r="BF20" s="14">
        <f t="shared" si="16"/>
        <v>52.171212121212122</v>
      </c>
      <c r="BG20" s="15" t="str">
        <f t="shared" si="17"/>
        <v>D</v>
      </c>
      <c r="BH20" s="15" t="str">
        <f t="shared" si="18"/>
        <v>PASS</v>
      </c>
    </row>
    <row r="21" spans="1:60" ht="16" customHeight="1" x14ac:dyDescent="0.2">
      <c r="A21" s="6">
        <v>7</v>
      </c>
      <c r="B21" s="6" t="s">
        <v>269</v>
      </c>
      <c r="C21" s="7" t="s">
        <v>270</v>
      </c>
      <c r="D21" s="6" t="s">
        <v>445</v>
      </c>
      <c r="E21" s="8" t="s">
        <v>362</v>
      </c>
      <c r="F21" s="8" t="s">
        <v>364</v>
      </c>
      <c r="G21" s="8" t="s">
        <v>364</v>
      </c>
      <c r="H21" s="8" t="s">
        <v>467</v>
      </c>
      <c r="I21" s="8" t="s">
        <v>467</v>
      </c>
      <c r="J21" s="8" t="s">
        <v>364</v>
      </c>
      <c r="K21" s="8" t="s">
        <v>364</v>
      </c>
      <c r="L21" s="8" t="s">
        <v>467</v>
      </c>
      <c r="M21" s="33"/>
      <c r="N21" s="8" t="s">
        <v>467</v>
      </c>
      <c r="O21" s="8" t="s">
        <v>362</v>
      </c>
      <c r="P21" s="8" t="s">
        <v>364</v>
      </c>
      <c r="Q21" s="8"/>
      <c r="R21" s="8"/>
      <c r="S21" s="8"/>
      <c r="T21" s="8"/>
      <c r="U21" s="33"/>
      <c r="V21" s="9">
        <f t="shared" si="0"/>
        <v>2</v>
      </c>
      <c r="W21" s="9">
        <f t="shared" si="1"/>
        <v>5</v>
      </c>
      <c r="X21" s="9">
        <f t="shared" si="2"/>
        <v>0</v>
      </c>
      <c r="Y21" s="9">
        <f t="shared" si="3"/>
        <v>4</v>
      </c>
      <c r="Z21" s="9">
        <f t="shared" si="4"/>
        <v>11</v>
      </c>
      <c r="AA21" s="10">
        <f t="shared" si="5"/>
        <v>0.18181818181818182</v>
      </c>
      <c r="AB21" s="11">
        <f t="shared" si="6"/>
        <v>1.8181818181818183</v>
      </c>
      <c r="AC21" s="12" t="str">
        <f t="shared" si="7"/>
        <v>EXCEEDED ABSENCE LIMIT</v>
      </c>
      <c r="AD21" s="8">
        <v>0</v>
      </c>
      <c r="AE21" s="8">
        <v>0</v>
      </c>
      <c r="AF21" s="8">
        <v>0</v>
      </c>
      <c r="AG21" s="8"/>
      <c r="AH21" s="8"/>
      <c r="AI21" s="16">
        <f t="shared" si="8"/>
        <v>0</v>
      </c>
      <c r="AJ21" s="13">
        <f t="shared" si="9"/>
        <v>0</v>
      </c>
      <c r="AK21" s="8">
        <v>100</v>
      </c>
      <c r="AL21" s="8">
        <v>0</v>
      </c>
      <c r="AM21" s="8">
        <v>0</v>
      </c>
      <c r="AN21" s="8"/>
      <c r="AO21" s="8"/>
      <c r="AP21" s="16">
        <f t="shared" si="10"/>
        <v>33.333333333333336</v>
      </c>
      <c r="AQ21" s="13">
        <f t="shared" si="11"/>
        <v>8.3333333333333339</v>
      </c>
      <c r="AR21" s="8">
        <v>100</v>
      </c>
      <c r="AS21" s="8">
        <v>0</v>
      </c>
      <c r="AT21" s="8">
        <v>0</v>
      </c>
      <c r="AU21" s="8"/>
      <c r="AV21" s="8"/>
      <c r="AW21" s="16">
        <f t="shared" si="12"/>
        <v>33.333333333333336</v>
      </c>
      <c r="AX21" s="13">
        <f t="shared" si="13"/>
        <v>3.3333333333333339</v>
      </c>
      <c r="AY21" s="8">
        <v>40</v>
      </c>
      <c r="AZ21" s="13">
        <f t="shared" si="19"/>
        <v>16</v>
      </c>
      <c r="BA21" s="13"/>
      <c r="BB21" s="8"/>
      <c r="BC21" s="13" t="str">
        <f t="shared" si="14"/>
        <v/>
      </c>
      <c r="BD21" s="8"/>
      <c r="BE21" s="13" t="str">
        <f t="shared" si="15"/>
        <v/>
      </c>
      <c r="BF21" s="14">
        <f t="shared" si="16"/>
        <v>29.484848484848484</v>
      </c>
      <c r="BG21" s="15" t="str">
        <f t="shared" si="17"/>
        <v>E/F</v>
      </c>
      <c r="BH21" s="15" t="str">
        <f t="shared" si="18"/>
        <v>NOT PASS</v>
      </c>
    </row>
    <row r="22" spans="1:60" ht="16" customHeight="1" x14ac:dyDescent="0.2">
      <c r="A22" s="6">
        <v>8</v>
      </c>
      <c r="B22" s="6" t="s">
        <v>271</v>
      </c>
      <c r="C22" s="7" t="s">
        <v>272</v>
      </c>
      <c r="D22" s="6" t="s">
        <v>446</v>
      </c>
      <c r="E22" s="8" t="s">
        <v>362</v>
      </c>
      <c r="F22" s="8" t="s">
        <v>364</v>
      </c>
      <c r="G22" s="8" t="s">
        <v>364</v>
      </c>
      <c r="H22" s="8" t="s">
        <v>467</v>
      </c>
      <c r="I22" s="8" t="s">
        <v>467</v>
      </c>
      <c r="J22" s="8" t="s">
        <v>364</v>
      </c>
      <c r="K22" s="8" t="s">
        <v>364</v>
      </c>
      <c r="L22" s="8" t="s">
        <v>467</v>
      </c>
      <c r="M22" s="33"/>
      <c r="N22" s="8" t="s">
        <v>467</v>
      </c>
      <c r="O22" s="8" t="s">
        <v>362</v>
      </c>
      <c r="P22" s="8" t="s">
        <v>364</v>
      </c>
      <c r="Q22" s="8"/>
      <c r="R22" s="8"/>
      <c r="S22" s="8"/>
      <c r="T22" s="8"/>
      <c r="U22" s="33"/>
      <c r="V22" s="9">
        <f t="shared" si="0"/>
        <v>2</v>
      </c>
      <c r="W22" s="9">
        <f t="shared" si="1"/>
        <v>5</v>
      </c>
      <c r="X22" s="9">
        <f t="shared" si="2"/>
        <v>0</v>
      </c>
      <c r="Y22" s="9">
        <f t="shared" si="3"/>
        <v>4</v>
      </c>
      <c r="Z22" s="9">
        <f t="shared" si="4"/>
        <v>11</v>
      </c>
      <c r="AA22" s="10">
        <f t="shared" si="5"/>
        <v>0.18181818181818182</v>
      </c>
      <c r="AB22" s="11">
        <f t="shared" si="6"/>
        <v>1.8181818181818183</v>
      </c>
      <c r="AC22" s="12" t="str">
        <f t="shared" si="7"/>
        <v>EXCEEDED ABSENCE LIMIT</v>
      </c>
      <c r="AD22" s="8">
        <v>0</v>
      </c>
      <c r="AE22" s="8">
        <v>0</v>
      </c>
      <c r="AF22" s="8">
        <v>0</v>
      </c>
      <c r="AG22" s="8"/>
      <c r="AH22" s="8"/>
      <c r="AI22" s="16">
        <f t="shared" si="8"/>
        <v>0</v>
      </c>
      <c r="AJ22" s="13">
        <f t="shared" si="9"/>
        <v>0</v>
      </c>
      <c r="AK22" s="8">
        <v>100</v>
      </c>
      <c r="AL22" s="8">
        <v>0</v>
      </c>
      <c r="AM22" s="8">
        <v>0</v>
      </c>
      <c r="AN22" s="8"/>
      <c r="AO22" s="8"/>
      <c r="AP22" s="16">
        <f t="shared" si="10"/>
        <v>33.333333333333336</v>
      </c>
      <c r="AQ22" s="13">
        <f t="shared" si="11"/>
        <v>8.3333333333333339</v>
      </c>
      <c r="AR22" s="8">
        <v>100</v>
      </c>
      <c r="AS22" s="8">
        <v>0</v>
      </c>
      <c r="AT22" s="8">
        <v>0</v>
      </c>
      <c r="AU22" s="8"/>
      <c r="AV22" s="8"/>
      <c r="AW22" s="16">
        <f t="shared" si="12"/>
        <v>33.333333333333336</v>
      </c>
      <c r="AX22" s="13">
        <f t="shared" si="13"/>
        <v>3.3333333333333339</v>
      </c>
      <c r="AY22" s="8">
        <v>42</v>
      </c>
      <c r="AZ22" s="13">
        <f t="shared" si="19"/>
        <v>16.8</v>
      </c>
      <c r="BA22" s="13"/>
      <c r="BB22" s="8"/>
      <c r="BC22" s="13" t="str">
        <f t="shared" si="14"/>
        <v/>
      </c>
      <c r="BD22" s="8"/>
      <c r="BE22" s="13" t="str">
        <f t="shared" si="15"/>
        <v/>
      </c>
      <c r="BF22" s="14">
        <f t="shared" si="16"/>
        <v>30.284848484848489</v>
      </c>
      <c r="BG22" s="15" t="str">
        <f t="shared" si="17"/>
        <v>E/F</v>
      </c>
      <c r="BH22" s="15" t="str">
        <f t="shared" si="18"/>
        <v>NOT PASS</v>
      </c>
    </row>
    <row r="23" spans="1:60" ht="16" customHeight="1" x14ac:dyDescent="0.2">
      <c r="A23" s="6">
        <v>9</v>
      </c>
      <c r="B23" s="6" t="s">
        <v>279</v>
      </c>
      <c r="C23" s="7" t="s">
        <v>280</v>
      </c>
      <c r="D23" s="6" t="s">
        <v>447</v>
      </c>
      <c r="E23" s="8" t="s">
        <v>362</v>
      </c>
      <c r="F23" s="8" t="s">
        <v>364</v>
      </c>
      <c r="G23" s="8" t="s">
        <v>362</v>
      </c>
      <c r="H23" s="8" t="s">
        <v>467</v>
      </c>
      <c r="I23" s="8" t="s">
        <v>467</v>
      </c>
      <c r="J23" s="8" t="s">
        <v>362</v>
      </c>
      <c r="K23" s="8" t="s">
        <v>364</v>
      </c>
      <c r="L23" s="8" t="s">
        <v>467</v>
      </c>
      <c r="M23" s="33"/>
      <c r="N23" s="8" t="s">
        <v>467</v>
      </c>
      <c r="O23" s="8" t="s">
        <v>362</v>
      </c>
      <c r="P23" s="8" t="s">
        <v>364</v>
      </c>
      <c r="Q23" s="8"/>
      <c r="R23" s="8"/>
      <c r="S23" s="8"/>
      <c r="T23" s="8"/>
      <c r="U23" s="33"/>
      <c r="V23" s="9">
        <f t="shared" si="0"/>
        <v>4</v>
      </c>
      <c r="W23" s="9">
        <f t="shared" si="1"/>
        <v>3</v>
      </c>
      <c r="X23" s="9">
        <f t="shared" si="2"/>
        <v>0</v>
      </c>
      <c r="Y23" s="9">
        <f t="shared" si="3"/>
        <v>4</v>
      </c>
      <c r="Z23" s="9">
        <f t="shared" si="4"/>
        <v>11</v>
      </c>
      <c r="AA23" s="10">
        <f t="shared" si="5"/>
        <v>0.36363636363636365</v>
      </c>
      <c r="AB23" s="11">
        <f t="shared" si="6"/>
        <v>3.6363636363636367</v>
      </c>
      <c r="AC23" s="12" t="str">
        <f t="shared" si="7"/>
        <v>WARNING: 3 absences</v>
      </c>
      <c r="AD23" s="8">
        <v>90</v>
      </c>
      <c r="AE23" s="8">
        <v>100</v>
      </c>
      <c r="AF23" s="8">
        <v>0</v>
      </c>
      <c r="AG23" s="8"/>
      <c r="AH23" s="8"/>
      <c r="AI23" s="16">
        <f t="shared" si="8"/>
        <v>63.333333333333336</v>
      </c>
      <c r="AJ23" s="13">
        <f t="shared" si="9"/>
        <v>9.5</v>
      </c>
      <c r="AK23" s="8">
        <v>100</v>
      </c>
      <c r="AL23" s="8">
        <v>100</v>
      </c>
      <c r="AM23" s="8">
        <v>100</v>
      </c>
      <c r="AN23" s="8"/>
      <c r="AO23" s="8"/>
      <c r="AP23" s="16">
        <f t="shared" si="10"/>
        <v>100</v>
      </c>
      <c r="AQ23" s="13">
        <f t="shared" si="11"/>
        <v>25</v>
      </c>
      <c r="AR23" s="8">
        <v>100</v>
      </c>
      <c r="AS23" s="8">
        <v>0</v>
      </c>
      <c r="AT23" s="8">
        <v>0</v>
      </c>
      <c r="AU23" s="8"/>
      <c r="AV23" s="8"/>
      <c r="AW23" s="16">
        <f t="shared" si="12"/>
        <v>33.333333333333336</v>
      </c>
      <c r="AX23" s="13">
        <f t="shared" si="13"/>
        <v>3.3333333333333339</v>
      </c>
      <c r="AY23" s="8">
        <v>48</v>
      </c>
      <c r="AZ23" s="13">
        <f t="shared" si="19"/>
        <v>19.2</v>
      </c>
      <c r="BA23" s="13">
        <v>4</v>
      </c>
      <c r="BB23" s="8"/>
      <c r="BC23" s="13" t="str">
        <f t="shared" si="14"/>
        <v/>
      </c>
      <c r="BD23" s="8"/>
      <c r="BE23" s="13" t="str">
        <f t="shared" si="15"/>
        <v/>
      </c>
      <c r="BF23" s="14">
        <f t="shared" si="16"/>
        <v>60.669696969696972</v>
      </c>
      <c r="BG23" s="15" t="str">
        <f t="shared" si="17"/>
        <v>C</v>
      </c>
      <c r="BH23" s="15" t="str">
        <f t="shared" si="18"/>
        <v>PASS</v>
      </c>
    </row>
    <row r="24" spans="1:60" ht="16" customHeight="1" x14ac:dyDescent="0.2">
      <c r="A24" s="6">
        <v>10</v>
      </c>
      <c r="B24" s="6" t="s">
        <v>281</v>
      </c>
      <c r="C24" s="7" t="s">
        <v>282</v>
      </c>
      <c r="D24" s="6" t="s">
        <v>448</v>
      </c>
      <c r="E24" s="8" t="s">
        <v>362</v>
      </c>
      <c r="F24" s="8" t="s">
        <v>362</v>
      </c>
      <c r="G24" s="8" t="s">
        <v>362</v>
      </c>
      <c r="H24" s="8" t="s">
        <v>467</v>
      </c>
      <c r="I24" s="8" t="s">
        <v>467</v>
      </c>
      <c r="J24" s="8" t="s">
        <v>364</v>
      </c>
      <c r="K24" s="8" t="s">
        <v>362</v>
      </c>
      <c r="L24" s="8" t="s">
        <v>467</v>
      </c>
      <c r="M24" s="33"/>
      <c r="N24" s="8" t="s">
        <v>467</v>
      </c>
      <c r="O24" s="8" t="s">
        <v>362</v>
      </c>
      <c r="P24" s="8" t="s">
        <v>364</v>
      </c>
      <c r="Q24" s="8"/>
      <c r="R24" s="8"/>
      <c r="S24" s="8"/>
      <c r="T24" s="8"/>
      <c r="U24" s="33"/>
      <c r="V24" s="9">
        <f t="shared" si="0"/>
        <v>5</v>
      </c>
      <c r="W24" s="9">
        <f t="shared" si="1"/>
        <v>2</v>
      </c>
      <c r="X24" s="9">
        <f t="shared" si="2"/>
        <v>0</v>
      </c>
      <c r="Y24" s="9">
        <f t="shared" si="3"/>
        <v>4</v>
      </c>
      <c r="Z24" s="9">
        <f t="shared" si="4"/>
        <v>11</v>
      </c>
      <c r="AA24" s="10">
        <f t="shared" si="5"/>
        <v>0.45454545454545453</v>
      </c>
      <c r="AB24" s="11">
        <f t="shared" si="6"/>
        <v>4.545454545454545</v>
      </c>
      <c r="AC24" s="12" t="str">
        <f t="shared" si="7"/>
        <v>OK</v>
      </c>
      <c r="AD24" s="8">
        <v>90</v>
      </c>
      <c r="AE24" s="8">
        <v>0</v>
      </c>
      <c r="AF24" s="8">
        <v>91</v>
      </c>
      <c r="AG24" s="8"/>
      <c r="AH24" s="8"/>
      <c r="AI24" s="16">
        <f t="shared" si="8"/>
        <v>60.333333333333336</v>
      </c>
      <c r="AJ24" s="13">
        <f t="shared" si="9"/>
        <v>9.0500000000000007</v>
      </c>
      <c r="AK24" s="8">
        <v>100</v>
      </c>
      <c r="AL24" s="8">
        <v>100</v>
      </c>
      <c r="AM24" s="8">
        <v>0</v>
      </c>
      <c r="AN24" s="8"/>
      <c r="AO24" s="8">
        <v>100</v>
      </c>
      <c r="AP24" s="16">
        <f t="shared" si="10"/>
        <v>75</v>
      </c>
      <c r="AQ24" s="13">
        <f t="shared" si="11"/>
        <v>18.75</v>
      </c>
      <c r="AR24" s="8">
        <v>100</v>
      </c>
      <c r="AS24" s="8">
        <v>100</v>
      </c>
      <c r="AT24" s="8">
        <v>0</v>
      </c>
      <c r="AU24" s="8"/>
      <c r="AV24" s="8"/>
      <c r="AW24" s="16">
        <f t="shared" si="12"/>
        <v>66.666666666666671</v>
      </c>
      <c r="AX24" s="13">
        <f t="shared" si="13"/>
        <v>6.6666666666666679</v>
      </c>
      <c r="AY24" s="8">
        <v>43</v>
      </c>
      <c r="AZ24" s="13">
        <f t="shared" si="19"/>
        <v>17.2</v>
      </c>
      <c r="BA24" s="13">
        <v>6</v>
      </c>
      <c r="BB24" s="8"/>
      <c r="BC24" s="13" t="str">
        <f t="shared" si="14"/>
        <v/>
      </c>
      <c r="BD24" s="8"/>
      <c r="BE24" s="13" t="str">
        <f t="shared" si="15"/>
        <v/>
      </c>
      <c r="BF24" s="14">
        <f t="shared" si="16"/>
        <v>56.212121212121218</v>
      </c>
      <c r="BG24" s="15" t="str">
        <f t="shared" si="17"/>
        <v>D+</v>
      </c>
      <c r="BH24" s="15" t="str">
        <f t="shared" si="18"/>
        <v>PASS</v>
      </c>
    </row>
    <row r="25" spans="1:60" ht="16" customHeight="1" x14ac:dyDescent="0.2">
      <c r="A25" s="6">
        <v>11</v>
      </c>
      <c r="B25" s="6" t="s">
        <v>342</v>
      </c>
      <c r="C25" s="7" t="s">
        <v>343</v>
      </c>
      <c r="D25" s="6" t="s">
        <v>449</v>
      </c>
      <c r="E25" s="8" t="s">
        <v>362</v>
      </c>
      <c r="F25" s="8" t="s">
        <v>364</v>
      </c>
      <c r="G25" s="8" t="s">
        <v>362</v>
      </c>
      <c r="H25" s="8" t="s">
        <v>467</v>
      </c>
      <c r="I25" s="8" t="s">
        <v>467</v>
      </c>
      <c r="J25" s="8" t="s">
        <v>362</v>
      </c>
      <c r="K25" s="8" t="s">
        <v>364</v>
      </c>
      <c r="L25" s="8" t="s">
        <v>467</v>
      </c>
      <c r="M25" s="33"/>
      <c r="N25" s="8" t="s">
        <v>467</v>
      </c>
      <c r="O25" s="8" t="s">
        <v>362</v>
      </c>
      <c r="P25" s="8" t="s">
        <v>362</v>
      </c>
      <c r="Q25" s="8"/>
      <c r="R25" s="8"/>
      <c r="S25" s="8"/>
      <c r="T25" s="8"/>
      <c r="U25" s="33"/>
      <c r="V25" s="9">
        <f t="shared" si="0"/>
        <v>5</v>
      </c>
      <c r="W25" s="9">
        <f t="shared" si="1"/>
        <v>2</v>
      </c>
      <c r="X25" s="9">
        <f t="shared" si="2"/>
        <v>0</v>
      </c>
      <c r="Y25" s="9">
        <f t="shared" si="3"/>
        <v>4</v>
      </c>
      <c r="Z25" s="9">
        <f t="shared" si="4"/>
        <v>11</v>
      </c>
      <c r="AA25" s="10">
        <f t="shared" si="5"/>
        <v>0.45454545454545453</v>
      </c>
      <c r="AB25" s="11">
        <f t="shared" si="6"/>
        <v>4.545454545454545</v>
      </c>
      <c r="AC25" s="12" t="str">
        <f t="shared" si="7"/>
        <v>OK</v>
      </c>
      <c r="AD25" s="8">
        <v>90</v>
      </c>
      <c r="AE25" s="8">
        <v>100</v>
      </c>
      <c r="AF25" s="8">
        <v>79</v>
      </c>
      <c r="AG25" s="8"/>
      <c r="AH25" s="8"/>
      <c r="AI25" s="16">
        <f t="shared" si="8"/>
        <v>89.666666666666671</v>
      </c>
      <c r="AJ25" s="13">
        <f t="shared" si="9"/>
        <v>13.450000000000001</v>
      </c>
      <c r="AK25" s="8">
        <v>100</v>
      </c>
      <c r="AL25" s="8">
        <v>100</v>
      </c>
      <c r="AM25" s="8">
        <v>100</v>
      </c>
      <c r="AN25" s="8"/>
      <c r="AO25" s="8"/>
      <c r="AP25" s="16">
        <f t="shared" si="10"/>
        <v>100</v>
      </c>
      <c r="AQ25" s="13">
        <f t="shared" si="11"/>
        <v>25</v>
      </c>
      <c r="AR25" s="8">
        <v>100</v>
      </c>
      <c r="AS25" s="8">
        <v>0</v>
      </c>
      <c r="AT25" s="8">
        <v>100</v>
      </c>
      <c r="AU25" s="8"/>
      <c r="AV25" s="8"/>
      <c r="AW25" s="16">
        <f t="shared" si="12"/>
        <v>66.666666666666671</v>
      </c>
      <c r="AX25" s="13">
        <f t="shared" si="13"/>
        <v>6.6666666666666679</v>
      </c>
      <c r="AY25" s="8">
        <v>40</v>
      </c>
      <c r="AZ25" s="13">
        <f t="shared" si="19"/>
        <v>16</v>
      </c>
      <c r="BA25" s="13">
        <v>6</v>
      </c>
      <c r="BB25" s="8"/>
      <c r="BC25" s="13" t="str">
        <f t="shared" si="14"/>
        <v/>
      </c>
      <c r="BD25" s="8"/>
      <c r="BE25" s="13" t="str">
        <f t="shared" si="15"/>
        <v/>
      </c>
      <c r="BF25" s="14">
        <f t="shared" si="16"/>
        <v>65.662121212121221</v>
      </c>
      <c r="BG25" s="15" t="str">
        <f t="shared" si="17"/>
        <v>C+</v>
      </c>
      <c r="BH25" s="15" t="str">
        <f t="shared" si="18"/>
        <v>PASS</v>
      </c>
    </row>
    <row r="26" spans="1:60" ht="16" customHeight="1" x14ac:dyDescent="0.2">
      <c r="A26" s="6">
        <v>12</v>
      </c>
      <c r="B26" s="6" t="s">
        <v>344</v>
      </c>
      <c r="C26" s="7" t="s">
        <v>345</v>
      </c>
      <c r="D26" s="6" t="s">
        <v>450</v>
      </c>
      <c r="E26" s="8" t="s">
        <v>362</v>
      </c>
      <c r="F26" s="8" t="s">
        <v>362</v>
      </c>
      <c r="G26" s="8" t="s">
        <v>362</v>
      </c>
      <c r="H26" s="8" t="s">
        <v>467</v>
      </c>
      <c r="I26" s="8" t="s">
        <v>467</v>
      </c>
      <c r="J26" s="8" t="s">
        <v>362</v>
      </c>
      <c r="K26" s="8" t="s">
        <v>362</v>
      </c>
      <c r="L26" s="8" t="s">
        <v>467</v>
      </c>
      <c r="M26" s="33"/>
      <c r="N26" s="8" t="s">
        <v>467</v>
      </c>
      <c r="O26" s="8" t="s">
        <v>362</v>
      </c>
      <c r="P26" s="8" t="s">
        <v>362</v>
      </c>
      <c r="Q26" s="8"/>
      <c r="R26" s="8"/>
      <c r="S26" s="8"/>
      <c r="T26" s="8"/>
      <c r="U26" s="33"/>
      <c r="V26" s="9">
        <f t="shared" si="0"/>
        <v>7</v>
      </c>
      <c r="W26" s="9">
        <f t="shared" si="1"/>
        <v>0</v>
      </c>
      <c r="X26" s="9">
        <f t="shared" si="2"/>
        <v>0</v>
      </c>
      <c r="Y26" s="9">
        <f t="shared" si="3"/>
        <v>4</v>
      </c>
      <c r="Z26" s="9">
        <f t="shared" si="4"/>
        <v>11</v>
      </c>
      <c r="AA26" s="10">
        <f t="shared" si="5"/>
        <v>0.63636363636363635</v>
      </c>
      <c r="AB26" s="11">
        <f t="shared" si="6"/>
        <v>6.3636363636363633</v>
      </c>
      <c r="AC26" s="12" t="str">
        <f t="shared" si="7"/>
        <v>OK</v>
      </c>
      <c r="AD26" s="8">
        <v>90</v>
      </c>
      <c r="AE26" s="8">
        <v>100</v>
      </c>
      <c r="AF26" s="8">
        <v>92</v>
      </c>
      <c r="AG26" s="8"/>
      <c r="AH26" s="8"/>
      <c r="AI26" s="16">
        <f t="shared" si="8"/>
        <v>94</v>
      </c>
      <c r="AJ26" s="13">
        <f t="shared" si="9"/>
        <v>14.1</v>
      </c>
      <c r="AK26" s="8">
        <v>100</v>
      </c>
      <c r="AL26" s="8">
        <v>100</v>
      </c>
      <c r="AM26" s="8">
        <v>100</v>
      </c>
      <c r="AN26" s="8"/>
      <c r="AO26" s="8"/>
      <c r="AP26" s="16">
        <f t="shared" si="10"/>
        <v>100</v>
      </c>
      <c r="AQ26" s="13">
        <f t="shared" si="11"/>
        <v>25</v>
      </c>
      <c r="AR26" s="8">
        <v>100</v>
      </c>
      <c r="AS26" s="8">
        <v>100</v>
      </c>
      <c r="AT26" s="8">
        <v>100</v>
      </c>
      <c r="AU26" s="8"/>
      <c r="AV26" s="8"/>
      <c r="AW26" s="16">
        <f t="shared" si="12"/>
        <v>100</v>
      </c>
      <c r="AX26" s="13">
        <f t="shared" si="13"/>
        <v>10</v>
      </c>
      <c r="AY26" s="8">
        <v>48</v>
      </c>
      <c r="AZ26" s="13">
        <f t="shared" si="19"/>
        <v>19.2</v>
      </c>
      <c r="BA26" s="13">
        <v>2</v>
      </c>
      <c r="BB26" s="8"/>
      <c r="BC26" s="13" t="str">
        <f t="shared" si="14"/>
        <v/>
      </c>
      <c r="BD26" s="8"/>
      <c r="BE26" s="13" t="str">
        <f t="shared" si="15"/>
        <v/>
      </c>
      <c r="BF26" s="14">
        <f t="shared" si="16"/>
        <v>74.663636363636357</v>
      </c>
      <c r="BG26" s="15" t="str">
        <f t="shared" si="17"/>
        <v>B</v>
      </c>
      <c r="BH26" s="15" t="str">
        <f t="shared" si="18"/>
        <v>PASS</v>
      </c>
    </row>
    <row r="27" spans="1:60" ht="16" customHeight="1" x14ac:dyDescent="0.2">
      <c r="A27" s="6">
        <v>13</v>
      </c>
      <c r="B27" s="6" t="s">
        <v>346</v>
      </c>
      <c r="C27" s="7" t="s">
        <v>347</v>
      </c>
      <c r="D27" s="6" t="s">
        <v>432</v>
      </c>
      <c r="E27" s="8" t="s">
        <v>362</v>
      </c>
      <c r="F27" s="8" t="s">
        <v>364</v>
      </c>
      <c r="G27" s="8" t="s">
        <v>364</v>
      </c>
      <c r="H27" s="8" t="s">
        <v>467</v>
      </c>
      <c r="I27" s="8" t="s">
        <v>467</v>
      </c>
      <c r="J27" s="8" t="s">
        <v>362</v>
      </c>
      <c r="K27" s="8" t="s">
        <v>362</v>
      </c>
      <c r="L27" s="8" t="s">
        <v>467</v>
      </c>
      <c r="M27" s="33"/>
      <c r="N27" s="8" t="s">
        <v>467</v>
      </c>
      <c r="O27" s="8" t="s">
        <v>362</v>
      </c>
      <c r="P27" s="8" t="s">
        <v>362</v>
      </c>
      <c r="Q27" s="8"/>
      <c r="R27" s="8"/>
      <c r="S27" s="8"/>
      <c r="T27" s="8"/>
      <c r="U27" s="33"/>
      <c r="V27" s="9">
        <f t="shared" si="0"/>
        <v>5</v>
      </c>
      <c r="W27" s="9">
        <f t="shared" si="1"/>
        <v>2</v>
      </c>
      <c r="X27" s="9">
        <f t="shared" si="2"/>
        <v>0</v>
      </c>
      <c r="Y27" s="9">
        <f t="shared" si="3"/>
        <v>4</v>
      </c>
      <c r="Z27" s="9">
        <f t="shared" si="4"/>
        <v>11</v>
      </c>
      <c r="AA27" s="10">
        <f t="shared" si="5"/>
        <v>0.45454545454545453</v>
      </c>
      <c r="AB27" s="11">
        <f t="shared" si="6"/>
        <v>4.545454545454545</v>
      </c>
      <c r="AC27" s="12" t="str">
        <f t="shared" si="7"/>
        <v>OK</v>
      </c>
      <c r="AD27" s="8">
        <v>0</v>
      </c>
      <c r="AE27" s="8">
        <v>100</v>
      </c>
      <c r="AF27" s="8">
        <v>83</v>
      </c>
      <c r="AG27" s="8"/>
      <c r="AH27" s="8"/>
      <c r="AI27" s="16">
        <f t="shared" si="8"/>
        <v>61</v>
      </c>
      <c r="AJ27" s="13">
        <f t="shared" si="9"/>
        <v>9.15</v>
      </c>
      <c r="AK27" s="8">
        <v>100</v>
      </c>
      <c r="AL27" s="8">
        <v>0</v>
      </c>
      <c r="AM27" s="8">
        <v>100</v>
      </c>
      <c r="AN27" s="8"/>
      <c r="AO27" s="8"/>
      <c r="AP27" s="16">
        <f t="shared" si="10"/>
        <v>66.666666666666671</v>
      </c>
      <c r="AQ27" s="13">
        <f t="shared" si="11"/>
        <v>16.666666666666668</v>
      </c>
      <c r="AR27" s="8">
        <v>100</v>
      </c>
      <c r="AS27" s="8">
        <v>0</v>
      </c>
      <c r="AT27" s="8">
        <v>100</v>
      </c>
      <c r="AU27" s="8"/>
      <c r="AV27" s="8"/>
      <c r="AW27" s="16">
        <f t="shared" si="12"/>
        <v>66.666666666666671</v>
      </c>
      <c r="AX27" s="13">
        <f t="shared" si="13"/>
        <v>6.6666666666666679</v>
      </c>
      <c r="AY27" s="8">
        <v>43</v>
      </c>
      <c r="AZ27" s="13">
        <f t="shared" si="19"/>
        <v>17.2</v>
      </c>
      <c r="BA27" s="13">
        <v>2</v>
      </c>
      <c r="BB27" s="8"/>
      <c r="BC27" s="13" t="str">
        <f t="shared" si="14"/>
        <v/>
      </c>
      <c r="BD27" s="8"/>
      <c r="BE27" s="13" t="str">
        <f t="shared" si="15"/>
        <v/>
      </c>
      <c r="BF27" s="14">
        <f t="shared" si="16"/>
        <v>54.228787878787884</v>
      </c>
      <c r="BG27" s="15" t="str">
        <f t="shared" si="17"/>
        <v>D</v>
      </c>
      <c r="BH27" s="15" t="str">
        <f t="shared" si="18"/>
        <v>PASS</v>
      </c>
    </row>
    <row r="28" spans="1:60" ht="16" customHeight="1" x14ac:dyDescent="0.2">
      <c r="A28" s="6">
        <v>14</v>
      </c>
      <c r="B28" s="6" t="s">
        <v>348</v>
      </c>
      <c r="C28" s="7" t="s">
        <v>349</v>
      </c>
      <c r="D28" s="6" t="s">
        <v>394</v>
      </c>
      <c r="E28" s="8" t="s">
        <v>362</v>
      </c>
      <c r="F28" s="8" t="s">
        <v>362</v>
      </c>
      <c r="G28" s="8" t="s">
        <v>364</v>
      </c>
      <c r="H28" s="8" t="s">
        <v>467</v>
      </c>
      <c r="I28" s="8" t="s">
        <v>467</v>
      </c>
      <c r="J28" s="8" t="s">
        <v>362</v>
      </c>
      <c r="K28" s="8" t="s">
        <v>362</v>
      </c>
      <c r="L28" s="8" t="s">
        <v>467</v>
      </c>
      <c r="M28" s="33"/>
      <c r="N28" s="8" t="s">
        <v>467</v>
      </c>
      <c r="O28" s="8" t="s">
        <v>362</v>
      </c>
      <c r="P28" s="8" t="s">
        <v>403</v>
      </c>
      <c r="Q28" s="8"/>
      <c r="R28" s="8"/>
      <c r="S28" s="8"/>
      <c r="T28" s="8"/>
      <c r="U28" s="33"/>
      <c r="V28" s="9">
        <f t="shared" si="0"/>
        <v>5</v>
      </c>
      <c r="W28" s="9">
        <f t="shared" si="1"/>
        <v>1</v>
      </c>
      <c r="X28" s="9">
        <f t="shared" si="2"/>
        <v>1</v>
      </c>
      <c r="Y28" s="9">
        <f t="shared" si="3"/>
        <v>4</v>
      </c>
      <c r="Z28" s="9">
        <f t="shared" si="4"/>
        <v>11</v>
      </c>
      <c r="AA28" s="10">
        <f t="shared" si="5"/>
        <v>0.54545454545454541</v>
      </c>
      <c r="AB28" s="11">
        <f t="shared" si="6"/>
        <v>5.4545454545454541</v>
      </c>
      <c r="AC28" s="12" t="str">
        <f t="shared" si="7"/>
        <v>OK</v>
      </c>
      <c r="AD28" s="8">
        <v>0</v>
      </c>
      <c r="AE28" s="8">
        <v>100</v>
      </c>
      <c r="AF28" s="8">
        <v>77</v>
      </c>
      <c r="AG28" s="8"/>
      <c r="AH28" s="8"/>
      <c r="AI28" s="16">
        <f t="shared" si="8"/>
        <v>59</v>
      </c>
      <c r="AJ28" s="13">
        <f t="shared" si="9"/>
        <v>8.85</v>
      </c>
      <c r="AK28" s="8">
        <v>100</v>
      </c>
      <c r="AL28" s="8">
        <v>0</v>
      </c>
      <c r="AM28" s="8">
        <v>100</v>
      </c>
      <c r="AN28" s="8"/>
      <c r="AO28" s="8">
        <v>100</v>
      </c>
      <c r="AP28" s="16">
        <f t="shared" si="10"/>
        <v>75</v>
      </c>
      <c r="AQ28" s="13">
        <f t="shared" si="11"/>
        <v>18.75</v>
      </c>
      <c r="AR28" s="8">
        <v>100</v>
      </c>
      <c r="AS28" s="8">
        <v>100</v>
      </c>
      <c r="AT28" s="8">
        <v>0</v>
      </c>
      <c r="AU28" s="8"/>
      <c r="AV28" s="8"/>
      <c r="AW28" s="16">
        <f t="shared" si="12"/>
        <v>66.666666666666671</v>
      </c>
      <c r="AX28" s="13">
        <f t="shared" si="13"/>
        <v>6.6666666666666679</v>
      </c>
      <c r="AY28" s="8">
        <v>48</v>
      </c>
      <c r="AZ28" s="13">
        <f t="shared" si="19"/>
        <v>19.2</v>
      </c>
      <c r="BA28" s="13">
        <v>2</v>
      </c>
      <c r="BB28" s="8"/>
      <c r="BC28" s="13" t="str">
        <f t="shared" si="14"/>
        <v/>
      </c>
      <c r="BD28" s="8"/>
      <c r="BE28" s="13" t="str">
        <f t="shared" si="15"/>
        <v/>
      </c>
      <c r="BF28" s="14">
        <f t="shared" si="16"/>
        <v>58.921212121212122</v>
      </c>
      <c r="BG28" s="15" t="str">
        <f t="shared" si="17"/>
        <v>D+</v>
      </c>
      <c r="BH28" s="15" t="str">
        <f t="shared" si="18"/>
        <v>PASS</v>
      </c>
    </row>
    <row r="29" spans="1:60" ht="16" customHeight="1" x14ac:dyDescent="0.2">
      <c r="A29" s="6">
        <v>15</v>
      </c>
      <c r="B29" s="6" t="s">
        <v>350</v>
      </c>
      <c r="C29" s="7" t="s">
        <v>351</v>
      </c>
      <c r="D29" s="6" t="s">
        <v>451</v>
      </c>
      <c r="E29" s="8" t="s">
        <v>362</v>
      </c>
      <c r="F29" s="8" t="s">
        <v>362</v>
      </c>
      <c r="G29" s="8" t="s">
        <v>362</v>
      </c>
      <c r="H29" s="8" t="s">
        <v>467</v>
      </c>
      <c r="I29" s="8" t="s">
        <v>467</v>
      </c>
      <c r="J29" s="8" t="s">
        <v>362</v>
      </c>
      <c r="K29" s="8" t="s">
        <v>362</v>
      </c>
      <c r="L29" s="8" t="s">
        <v>467</v>
      </c>
      <c r="M29" s="33"/>
      <c r="N29" s="8" t="s">
        <v>467</v>
      </c>
      <c r="O29" s="8" t="s">
        <v>362</v>
      </c>
      <c r="P29" s="8" t="s">
        <v>362</v>
      </c>
      <c r="Q29" s="8"/>
      <c r="R29" s="8"/>
      <c r="S29" s="8"/>
      <c r="T29" s="8"/>
      <c r="U29" s="33"/>
      <c r="V29" s="9">
        <f t="shared" si="0"/>
        <v>7</v>
      </c>
      <c r="W29" s="9">
        <f t="shared" si="1"/>
        <v>0</v>
      </c>
      <c r="X29" s="9">
        <f t="shared" si="2"/>
        <v>0</v>
      </c>
      <c r="Y29" s="9">
        <f t="shared" si="3"/>
        <v>4</v>
      </c>
      <c r="Z29" s="9">
        <f t="shared" si="4"/>
        <v>11</v>
      </c>
      <c r="AA29" s="10">
        <f t="shared" si="5"/>
        <v>0.63636363636363635</v>
      </c>
      <c r="AB29" s="11">
        <f t="shared" si="6"/>
        <v>6.3636363636363633</v>
      </c>
      <c r="AC29" s="12" t="str">
        <f t="shared" si="7"/>
        <v>OK</v>
      </c>
      <c r="AD29" s="8">
        <v>90</v>
      </c>
      <c r="AE29" s="8">
        <v>100</v>
      </c>
      <c r="AF29" s="8">
        <v>79</v>
      </c>
      <c r="AG29" s="8"/>
      <c r="AH29" s="8"/>
      <c r="AI29" s="16">
        <f t="shared" si="8"/>
        <v>89.666666666666671</v>
      </c>
      <c r="AJ29" s="13">
        <f t="shared" si="9"/>
        <v>13.450000000000001</v>
      </c>
      <c r="AK29" s="8">
        <v>100</v>
      </c>
      <c r="AL29" s="8">
        <v>100</v>
      </c>
      <c r="AM29" s="8">
        <v>100</v>
      </c>
      <c r="AN29" s="8"/>
      <c r="AO29" s="8"/>
      <c r="AP29" s="16">
        <f t="shared" si="10"/>
        <v>100</v>
      </c>
      <c r="AQ29" s="13">
        <f t="shared" si="11"/>
        <v>25</v>
      </c>
      <c r="AR29" s="8">
        <v>100</v>
      </c>
      <c r="AS29" s="8">
        <v>100</v>
      </c>
      <c r="AT29" s="8">
        <v>100</v>
      </c>
      <c r="AU29" s="8"/>
      <c r="AV29" s="8"/>
      <c r="AW29" s="16">
        <f t="shared" si="12"/>
        <v>100</v>
      </c>
      <c r="AX29" s="13">
        <f t="shared" si="13"/>
        <v>10</v>
      </c>
      <c r="AY29" s="8">
        <v>50</v>
      </c>
      <c r="AZ29" s="13">
        <f t="shared" si="19"/>
        <v>20</v>
      </c>
      <c r="BA29" s="13">
        <v>2</v>
      </c>
      <c r="BB29" s="8"/>
      <c r="BC29" s="13" t="str">
        <f t="shared" si="14"/>
        <v/>
      </c>
      <c r="BD29" s="8"/>
      <c r="BE29" s="13" t="str">
        <f t="shared" si="15"/>
        <v/>
      </c>
      <c r="BF29" s="14">
        <f t="shared" si="16"/>
        <v>74.813636363636363</v>
      </c>
      <c r="BG29" s="15" t="str">
        <f t="shared" si="17"/>
        <v>B</v>
      </c>
      <c r="BH29" s="15" t="str">
        <f t="shared" si="18"/>
        <v>PASS</v>
      </c>
    </row>
    <row r="30" spans="1:60" ht="16" customHeight="1" x14ac:dyDescent="0.2">
      <c r="A30" s="6">
        <v>16</v>
      </c>
      <c r="B30" s="6" t="s">
        <v>352</v>
      </c>
      <c r="C30" s="7" t="s">
        <v>353</v>
      </c>
      <c r="D30" s="6" t="s">
        <v>452</v>
      </c>
      <c r="E30" s="8" t="s">
        <v>362</v>
      </c>
      <c r="F30" s="8" t="s">
        <v>362</v>
      </c>
      <c r="G30" s="8" t="s">
        <v>362</v>
      </c>
      <c r="H30" s="8" t="s">
        <v>467</v>
      </c>
      <c r="I30" s="8" t="s">
        <v>467</v>
      </c>
      <c r="J30" s="8" t="s">
        <v>364</v>
      </c>
      <c r="K30" s="8" t="s">
        <v>362</v>
      </c>
      <c r="L30" s="8" t="s">
        <v>467</v>
      </c>
      <c r="M30" s="33"/>
      <c r="N30" s="8" t="s">
        <v>467</v>
      </c>
      <c r="O30" s="8" t="s">
        <v>362</v>
      </c>
      <c r="P30" s="8" t="s">
        <v>364</v>
      </c>
      <c r="Q30" s="8"/>
      <c r="R30" s="8"/>
      <c r="S30" s="8"/>
      <c r="T30" s="8"/>
      <c r="U30" s="33"/>
      <c r="V30" s="9">
        <f t="shared" si="0"/>
        <v>5</v>
      </c>
      <c r="W30" s="9">
        <f t="shared" si="1"/>
        <v>2</v>
      </c>
      <c r="X30" s="9">
        <f t="shared" si="2"/>
        <v>0</v>
      </c>
      <c r="Y30" s="9">
        <f t="shared" si="3"/>
        <v>4</v>
      </c>
      <c r="Z30" s="9">
        <f t="shared" si="4"/>
        <v>11</v>
      </c>
      <c r="AA30" s="10">
        <f t="shared" si="5"/>
        <v>0.45454545454545453</v>
      </c>
      <c r="AB30" s="11">
        <f t="shared" si="6"/>
        <v>4.545454545454545</v>
      </c>
      <c r="AC30" s="12" t="str">
        <f t="shared" si="7"/>
        <v>OK</v>
      </c>
      <c r="AD30" s="8">
        <v>90</v>
      </c>
      <c r="AE30" s="8">
        <v>0</v>
      </c>
      <c r="AF30" s="8">
        <v>0</v>
      </c>
      <c r="AG30" s="8"/>
      <c r="AH30" s="8"/>
      <c r="AI30" s="16">
        <f t="shared" si="8"/>
        <v>30</v>
      </c>
      <c r="AJ30" s="13">
        <f t="shared" si="9"/>
        <v>4.5</v>
      </c>
      <c r="AK30" s="8">
        <v>100</v>
      </c>
      <c r="AL30" s="8">
        <v>100</v>
      </c>
      <c r="AM30" s="8">
        <v>0</v>
      </c>
      <c r="AN30" s="8"/>
      <c r="AO30" s="8"/>
      <c r="AP30" s="16">
        <f t="shared" si="10"/>
        <v>66.666666666666671</v>
      </c>
      <c r="AQ30" s="13">
        <f t="shared" si="11"/>
        <v>16.666666666666668</v>
      </c>
      <c r="AR30" s="8">
        <v>100</v>
      </c>
      <c r="AS30" s="8">
        <v>100</v>
      </c>
      <c r="AT30" s="8">
        <v>0</v>
      </c>
      <c r="AU30" s="8"/>
      <c r="AV30" s="8"/>
      <c r="AW30" s="16">
        <f t="shared" si="12"/>
        <v>66.666666666666671</v>
      </c>
      <c r="AX30" s="13">
        <f t="shared" si="13"/>
        <v>6.6666666666666679</v>
      </c>
      <c r="AY30" s="8">
        <v>40</v>
      </c>
      <c r="AZ30" s="13">
        <f t="shared" si="19"/>
        <v>16</v>
      </c>
      <c r="BA30" s="13"/>
      <c r="BB30" s="8"/>
      <c r="BC30" s="13" t="str">
        <f t="shared" si="14"/>
        <v/>
      </c>
      <c r="BD30" s="8"/>
      <c r="BE30" s="13" t="str">
        <f t="shared" si="15"/>
        <v/>
      </c>
      <c r="BF30" s="14">
        <f t="shared" si="16"/>
        <v>48.378787878787875</v>
      </c>
      <c r="BG30" s="15" t="str">
        <f t="shared" si="17"/>
        <v>E/F</v>
      </c>
      <c r="BH30" s="15" t="str">
        <f t="shared" si="18"/>
        <v>NOT PASS</v>
      </c>
    </row>
    <row r="31" spans="1:60" ht="16" customHeight="1" x14ac:dyDescent="0.2">
      <c r="A31" s="6">
        <v>17</v>
      </c>
      <c r="B31" s="6" t="s">
        <v>354</v>
      </c>
      <c r="C31" s="7" t="s">
        <v>355</v>
      </c>
      <c r="D31" s="6" t="s">
        <v>453</v>
      </c>
      <c r="E31" s="8" t="s">
        <v>362</v>
      </c>
      <c r="F31" s="8" t="s">
        <v>362</v>
      </c>
      <c r="G31" s="8" t="s">
        <v>364</v>
      </c>
      <c r="H31" s="8" t="s">
        <v>467</v>
      </c>
      <c r="I31" s="8" t="s">
        <v>467</v>
      </c>
      <c r="J31" s="8" t="s">
        <v>362</v>
      </c>
      <c r="K31" s="8" t="s">
        <v>362</v>
      </c>
      <c r="L31" s="8" t="s">
        <v>467</v>
      </c>
      <c r="M31" s="33"/>
      <c r="N31" s="8" t="s">
        <v>467</v>
      </c>
      <c r="O31" s="8" t="s">
        <v>362</v>
      </c>
      <c r="P31" s="8" t="s">
        <v>362</v>
      </c>
      <c r="Q31" s="8"/>
      <c r="R31" s="8"/>
      <c r="S31" s="8"/>
      <c r="T31" s="8"/>
      <c r="U31" s="33"/>
      <c r="V31" s="9">
        <f t="shared" si="0"/>
        <v>6</v>
      </c>
      <c r="W31" s="9">
        <f t="shared" si="1"/>
        <v>1</v>
      </c>
      <c r="X31" s="9">
        <f t="shared" si="2"/>
        <v>0</v>
      </c>
      <c r="Y31" s="9">
        <f t="shared" si="3"/>
        <v>4</v>
      </c>
      <c r="Z31" s="9">
        <f t="shared" si="4"/>
        <v>11</v>
      </c>
      <c r="AA31" s="10">
        <f t="shared" si="5"/>
        <v>0.54545454545454541</v>
      </c>
      <c r="AB31" s="11">
        <f t="shared" si="6"/>
        <v>5.4545454545454541</v>
      </c>
      <c r="AC31" s="12" t="str">
        <f t="shared" si="7"/>
        <v>OK</v>
      </c>
      <c r="AD31" s="8">
        <v>100</v>
      </c>
      <c r="AE31" s="8">
        <v>100</v>
      </c>
      <c r="AF31" s="8">
        <v>77</v>
      </c>
      <c r="AG31" s="8"/>
      <c r="AH31" s="8"/>
      <c r="AI31" s="16">
        <f t="shared" si="8"/>
        <v>92.333333333333329</v>
      </c>
      <c r="AJ31" s="13">
        <f t="shared" si="9"/>
        <v>13.85</v>
      </c>
      <c r="AK31" s="8">
        <v>100</v>
      </c>
      <c r="AL31" s="8">
        <v>0</v>
      </c>
      <c r="AM31" s="8">
        <v>100</v>
      </c>
      <c r="AN31" s="8"/>
      <c r="AO31" s="8"/>
      <c r="AP31" s="16">
        <f t="shared" si="10"/>
        <v>66.666666666666671</v>
      </c>
      <c r="AQ31" s="13">
        <f t="shared" si="11"/>
        <v>16.666666666666668</v>
      </c>
      <c r="AR31" s="8">
        <v>100</v>
      </c>
      <c r="AS31" s="8">
        <v>100</v>
      </c>
      <c r="AT31" s="8">
        <v>100</v>
      </c>
      <c r="AU31" s="8"/>
      <c r="AV31" s="8"/>
      <c r="AW31" s="16">
        <f t="shared" si="12"/>
        <v>100</v>
      </c>
      <c r="AX31" s="13">
        <f t="shared" si="13"/>
        <v>10</v>
      </c>
      <c r="AY31" s="8">
        <v>45</v>
      </c>
      <c r="AZ31" s="13">
        <f t="shared" si="19"/>
        <v>18</v>
      </c>
      <c r="BA31" s="13">
        <v>2</v>
      </c>
      <c r="BB31" s="8"/>
      <c r="BC31" s="13" t="str">
        <f t="shared" si="14"/>
        <v/>
      </c>
      <c r="BD31" s="8"/>
      <c r="BE31" s="13" t="str">
        <f t="shared" si="15"/>
        <v/>
      </c>
      <c r="BF31" s="14">
        <f t="shared" si="16"/>
        <v>63.971212121212119</v>
      </c>
      <c r="BG31" s="15" t="str">
        <f t="shared" si="17"/>
        <v>C</v>
      </c>
      <c r="BH31" s="15" t="str">
        <f t="shared" si="18"/>
        <v>PASS</v>
      </c>
    </row>
    <row r="32" spans="1:60" ht="16" customHeight="1" x14ac:dyDescent="0.2">
      <c r="A32" s="6">
        <v>18</v>
      </c>
      <c r="B32" s="6" t="s">
        <v>356</v>
      </c>
      <c r="C32" s="7" t="s">
        <v>357</v>
      </c>
      <c r="D32" s="6" t="s">
        <v>516</v>
      </c>
      <c r="E32" s="8" t="s">
        <v>362</v>
      </c>
      <c r="F32" s="8" t="s">
        <v>364</v>
      </c>
      <c r="G32" s="8" t="s">
        <v>362</v>
      </c>
      <c r="H32" s="8" t="s">
        <v>467</v>
      </c>
      <c r="I32" s="8" t="s">
        <v>467</v>
      </c>
      <c r="J32" s="8" t="s">
        <v>364</v>
      </c>
      <c r="K32" s="8" t="s">
        <v>364</v>
      </c>
      <c r="L32" s="8" t="s">
        <v>467</v>
      </c>
      <c r="M32" s="33"/>
      <c r="N32" s="8" t="s">
        <v>467</v>
      </c>
      <c r="O32" s="8" t="s">
        <v>362</v>
      </c>
      <c r="P32" s="8" t="s">
        <v>364</v>
      </c>
      <c r="Q32" s="8"/>
      <c r="R32" s="8"/>
      <c r="S32" s="8"/>
      <c r="T32" s="8"/>
      <c r="U32" s="33"/>
      <c r="V32" s="9">
        <f t="shared" si="0"/>
        <v>3</v>
      </c>
      <c r="W32" s="9">
        <f t="shared" si="1"/>
        <v>4</v>
      </c>
      <c r="X32" s="9">
        <f t="shared" si="2"/>
        <v>0</v>
      </c>
      <c r="Y32" s="9">
        <f t="shared" si="3"/>
        <v>4</v>
      </c>
      <c r="Z32" s="9">
        <f t="shared" si="4"/>
        <v>11</v>
      </c>
      <c r="AA32" s="10">
        <f t="shared" si="5"/>
        <v>0.27272727272727271</v>
      </c>
      <c r="AB32" s="11">
        <f t="shared" si="6"/>
        <v>2.7272727272727271</v>
      </c>
      <c r="AC32" s="12" t="str">
        <f t="shared" si="7"/>
        <v>MAXIMUM ABSENCES REACHED</v>
      </c>
      <c r="AD32" s="8">
        <v>0</v>
      </c>
      <c r="AE32" s="8">
        <v>100</v>
      </c>
      <c r="AF32" s="8">
        <v>0</v>
      </c>
      <c r="AG32" s="8"/>
      <c r="AH32" s="8"/>
      <c r="AI32" s="16">
        <f t="shared" si="8"/>
        <v>33.333333333333336</v>
      </c>
      <c r="AJ32" s="13">
        <f t="shared" si="9"/>
        <v>5.0000000000000009</v>
      </c>
      <c r="AK32" s="8">
        <v>100</v>
      </c>
      <c r="AL32" s="8">
        <v>100</v>
      </c>
      <c r="AM32" s="8">
        <v>100</v>
      </c>
      <c r="AN32" s="8"/>
      <c r="AO32" s="8"/>
      <c r="AP32" s="16">
        <f t="shared" si="10"/>
        <v>100</v>
      </c>
      <c r="AQ32" s="13">
        <f t="shared" si="11"/>
        <v>25</v>
      </c>
      <c r="AR32" s="8">
        <v>100</v>
      </c>
      <c r="AS32" s="8">
        <v>0</v>
      </c>
      <c r="AT32" s="8">
        <v>0</v>
      </c>
      <c r="AU32" s="8"/>
      <c r="AV32" s="8"/>
      <c r="AW32" s="16">
        <f t="shared" si="12"/>
        <v>33.333333333333336</v>
      </c>
      <c r="AX32" s="13">
        <f t="shared" si="13"/>
        <v>3.3333333333333339</v>
      </c>
      <c r="AY32" s="8">
        <v>44</v>
      </c>
      <c r="AZ32" s="13">
        <f t="shared" si="19"/>
        <v>17.600000000000001</v>
      </c>
      <c r="BA32" s="13"/>
      <c r="BB32" s="8"/>
      <c r="BC32" s="13" t="str">
        <f t="shared" si="14"/>
        <v/>
      </c>
      <c r="BD32" s="8"/>
      <c r="BE32" s="13" t="str">
        <f t="shared" si="15"/>
        <v/>
      </c>
      <c r="BF32" s="14">
        <f t="shared" si="16"/>
        <v>53.660606060606064</v>
      </c>
      <c r="BG32" s="15" t="str">
        <f t="shared" si="17"/>
        <v>D</v>
      </c>
      <c r="BH32" s="15" t="str">
        <f t="shared" si="18"/>
        <v>PASS</v>
      </c>
    </row>
    <row r="33" spans="1:60" ht="16" customHeight="1" x14ac:dyDescent="0.2">
      <c r="A33" s="6">
        <v>19</v>
      </c>
      <c r="B33" s="6" t="s">
        <v>297</v>
      </c>
      <c r="C33" s="7" t="s">
        <v>298</v>
      </c>
      <c r="D33" s="6" t="s">
        <v>454</v>
      </c>
      <c r="E33" s="8" t="s">
        <v>362</v>
      </c>
      <c r="F33" s="8" t="s">
        <v>362</v>
      </c>
      <c r="G33" s="8" t="s">
        <v>362</v>
      </c>
      <c r="H33" s="8" t="s">
        <v>467</v>
      </c>
      <c r="I33" s="8" t="s">
        <v>467</v>
      </c>
      <c r="J33" s="8" t="s">
        <v>362</v>
      </c>
      <c r="K33" s="8" t="s">
        <v>362</v>
      </c>
      <c r="L33" s="8" t="s">
        <v>467</v>
      </c>
      <c r="M33" s="33"/>
      <c r="N33" s="8" t="s">
        <v>467</v>
      </c>
      <c r="O33" s="8" t="s">
        <v>362</v>
      </c>
      <c r="P33" s="8" t="s">
        <v>362</v>
      </c>
      <c r="Q33" s="8"/>
      <c r="R33" s="8"/>
      <c r="S33" s="8"/>
      <c r="T33" s="8"/>
      <c r="U33" s="33"/>
      <c r="V33" s="9">
        <f t="shared" si="0"/>
        <v>7</v>
      </c>
      <c r="W33" s="9">
        <f t="shared" si="1"/>
        <v>0</v>
      </c>
      <c r="X33" s="9">
        <f t="shared" si="2"/>
        <v>0</v>
      </c>
      <c r="Y33" s="9">
        <f t="shared" si="3"/>
        <v>4</v>
      </c>
      <c r="Z33" s="9">
        <f t="shared" si="4"/>
        <v>11</v>
      </c>
      <c r="AA33" s="10">
        <f t="shared" si="5"/>
        <v>0.63636363636363635</v>
      </c>
      <c r="AB33" s="11">
        <f t="shared" si="6"/>
        <v>6.3636363636363633</v>
      </c>
      <c r="AC33" s="12" t="str">
        <f t="shared" si="7"/>
        <v>OK</v>
      </c>
      <c r="AD33" s="8">
        <v>90</v>
      </c>
      <c r="AE33" s="8">
        <v>0</v>
      </c>
      <c r="AF33" s="8">
        <v>0</v>
      </c>
      <c r="AG33" s="8"/>
      <c r="AH33" s="8"/>
      <c r="AI33" s="16">
        <f t="shared" si="8"/>
        <v>30</v>
      </c>
      <c r="AJ33" s="13">
        <f t="shared" si="9"/>
        <v>4.5</v>
      </c>
      <c r="AK33" s="8">
        <v>100</v>
      </c>
      <c r="AL33" s="8">
        <v>100</v>
      </c>
      <c r="AM33" s="8">
        <v>0</v>
      </c>
      <c r="AN33" s="8"/>
      <c r="AO33" s="8">
        <v>100</v>
      </c>
      <c r="AP33" s="16">
        <f t="shared" si="10"/>
        <v>75</v>
      </c>
      <c r="AQ33" s="13">
        <f t="shared" si="11"/>
        <v>18.75</v>
      </c>
      <c r="AR33" s="8">
        <v>100</v>
      </c>
      <c r="AS33" s="8">
        <v>100</v>
      </c>
      <c r="AT33" s="8">
        <v>100</v>
      </c>
      <c r="AU33" s="8"/>
      <c r="AV33" s="8"/>
      <c r="AW33" s="16">
        <f t="shared" si="12"/>
        <v>100</v>
      </c>
      <c r="AX33" s="13">
        <f t="shared" si="13"/>
        <v>10</v>
      </c>
      <c r="AY33" s="8">
        <v>32</v>
      </c>
      <c r="AZ33" s="13">
        <f t="shared" si="19"/>
        <v>12.8</v>
      </c>
      <c r="BA33" s="13">
        <v>6</v>
      </c>
      <c r="BB33" s="8"/>
      <c r="BC33" s="13" t="str">
        <f t="shared" si="14"/>
        <v/>
      </c>
      <c r="BD33" s="8"/>
      <c r="BE33" s="13" t="str">
        <f t="shared" si="15"/>
        <v/>
      </c>
      <c r="BF33" s="14">
        <f t="shared" si="16"/>
        <v>52.413636363636357</v>
      </c>
      <c r="BG33" s="15" t="str">
        <f t="shared" si="17"/>
        <v>D</v>
      </c>
      <c r="BH33" s="15" t="str">
        <f t="shared" si="18"/>
        <v>PASS</v>
      </c>
    </row>
    <row r="34" spans="1:60" ht="16" customHeight="1" x14ac:dyDescent="0.2">
      <c r="A34" s="6">
        <v>20</v>
      </c>
      <c r="B34" s="6" t="s">
        <v>301</v>
      </c>
      <c r="C34" s="7" t="s">
        <v>302</v>
      </c>
      <c r="D34" s="6" t="s">
        <v>455</v>
      </c>
      <c r="E34" s="8" t="s">
        <v>362</v>
      </c>
      <c r="F34" s="8" t="s">
        <v>362</v>
      </c>
      <c r="G34" s="8" t="s">
        <v>362</v>
      </c>
      <c r="H34" s="8" t="s">
        <v>467</v>
      </c>
      <c r="I34" s="8" t="s">
        <v>467</v>
      </c>
      <c r="J34" s="8" t="s">
        <v>364</v>
      </c>
      <c r="K34" s="8" t="s">
        <v>362</v>
      </c>
      <c r="L34" s="8" t="s">
        <v>467</v>
      </c>
      <c r="M34" s="33"/>
      <c r="N34" s="8" t="s">
        <v>467</v>
      </c>
      <c r="O34" s="8" t="s">
        <v>362</v>
      </c>
      <c r="P34" s="8" t="s">
        <v>362</v>
      </c>
      <c r="Q34" s="8"/>
      <c r="R34" s="8"/>
      <c r="S34" s="8"/>
      <c r="T34" s="8"/>
      <c r="U34" s="33"/>
      <c r="V34" s="9">
        <f t="shared" si="0"/>
        <v>6</v>
      </c>
      <c r="W34" s="9">
        <f t="shared" si="1"/>
        <v>1</v>
      </c>
      <c r="X34" s="9">
        <f t="shared" si="2"/>
        <v>0</v>
      </c>
      <c r="Y34" s="9">
        <f t="shared" si="3"/>
        <v>4</v>
      </c>
      <c r="Z34" s="9">
        <f t="shared" si="4"/>
        <v>11</v>
      </c>
      <c r="AA34" s="10">
        <f t="shared" si="5"/>
        <v>0.54545454545454541</v>
      </c>
      <c r="AB34" s="11">
        <f t="shared" si="6"/>
        <v>5.4545454545454541</v>
      </c>
      <c r="AC34" s="12" t="str">
        <f t="shared" si="7"/>
        <v>OK</v>
      </c>
      <c r="AD34" s="8">
        <v>100</v>
      </c>
      <c r="AE34" s="8">
        <v>100</v>
      </c>
      <c r="AF34" s="8">
        <v>94</v>
      </c>
      <c r="AG34" s="8"/>
      <c r="AH34" s="8"/>
      <c r="AI34" s="16">
        <f t="shared" si="8"/>
        <v>98</v>
      </c>
      <c r="AJ34" s="13">
        <f t="shared" si="9"/>
        <v>14.7</v>
      </c>
      <c r="AK34" s="8">
        <v>100</v>
      </c>
      <c r="AL34" s="8">
        <v>100</v>
      </c>
      <c r="AM34" s="8">
        <v>100</v>
      </c>
      <c r="AN34" s="8"/>
      <c r="AO34" s="8"/>
      <c r="AP34" s="16">
        <f t="shared" si="10"/>
        <v>100</v>
      </c>
      <c r="AQ34" s="13">
        <f t="shared" si="11"/>
        <v>25</v>
      </c>
      <c r="AR34" s="8">
        <v>100</v>
      </c>
      <c r="AS34" s="8">
        <v>100</v>
      </c>
      <c r="AT34" s="8">
        <v>100</v>
      </c>
      <c r="AU34" s="8"/>
      <c r="AV34" s="8"/>
      <c r="AW34" s="16">
        <f t="shared" si="12"/>
        <v>100</v>
      </c>
      <c r="AX34" s="13">
        <f t="shared" si="13"/>
        <v>10</v>
      </c>
      <c r="AY34" s="8">
        <v>46</v>
      </c>
      <c r="AZ34" s="13">
        <f t="shared" si="19"/>
        <v>18.400000000000002</v>
      </c>
      <c r="BA34" s="13"/>
      <c r="BB34" s="8"/>
      <c r="BC34" s="13" t="str">
        <f t="shared" si="14"/>
        <v/>
      </c>
      <c r="BD34" s="8"/>
      <c r="BE34" s="13" t="str">
        <f t="shared" si="15"/>
        <v/>
      </c>
      <c r="BF34" s="14">
        <f t="shared" si="16"/>
        <v>73.554545454545462</v>
      </c>
      <c r="BG34" s="15" t="str">
        <f t="shared" si="17"/>
        <v>B</v>
      </c>
      <c r="BH34" s="15" t="str">
        <f t="shared" si="18"/>
        <v>PASS</v>
      </c>
    </row>
    <row r="35" spans="1:60" ht="16" customHeight="1" x14ac:dyDescent="0.2">
      <c r="A35" s="6">
        <v>21</v>
      </c>
      <c r="B35" s="6" t="s">
        <v>303</v>
      </c>
      <c r="C35" s="7" t="s">
        <v>304</v>
      </c>
      <c r="D35" s="6" t="s">
        <v>456</v>
      </c>
      <c r="E35" s="8" t="s">
        <v>362</v>
      </c>
      <c r="F35" s="8" t="s">
        <v>362</v>
      </c>
      <c r="G35" s="8" t="s">
        <v>362</v>
      </c>
      <c r="H35" s="8" t="s">
        <v>467</v>
      </c>
      <c r="I35" s="8" t="s">
        <v>467</v>
      </c>
      <c r="J35" s="8" t="s">
        <v>362</v>
      </c>
      <c r="K35" s="8" t="s">
        <v>364</v>
      </c>
      <c r="L35" s="8" t="s">
        <v>467</v>
      </c>
      <c r="M35" s="33"/>
      <c r="N35" s="8" t="s">
        <v>467</v>
      </c>
      <c r="O35" s="8" t="s">
        <v>362</v>
      </c>
      <c r="P35" s="8" t="s">
        <v>364</v>
      </c>
      <c r="Q35" s="8"/>
      <c r="R35" s="8"/>
      <c r="S35" s="8"/>
      <c r="T35" s="8"/>
      <c r="U35" s="33"/>
      <c r="V35" s="9">
        <f t="shared" si="0"/>
        <v>5</v>
      </c>
      <c r="W35" s="9">
        <f t="shared" si="1"/>
        <v>2</v>
      </c>
      <c r="X35" s="9">
        <f t="shared" si="2"/>
        <v>0</v>
      </c>
      <c r="Y35" s="9">
        <f t="shared" si="3"/>
        <v>4</v>
      </c>
      <c r="Z35" s="9">
        <f t="shared" si="4"/>
        <v>11</v>
      </c>
      <c r="AA35" s="10">
        <f t="shared" si="5"/>
        <v>0.45454545454545453</v>
      </c>
      <c r="AB35" s="11">
        <f t="shared" si="6"/>
        <v>4.545454545454545</v>
      </c>
      <c r="AC35" s="12" t="str">
        <f t="shared" si="7"/>
        <v>OK</v>
      </c>
      <c r="AD35" s="8">
        <v>84</v>
      </c>
      <c r="AE35" s="8">
        <v>0</v>
      </c>
      <c r="AF35" s="8">
        <v>0</v>
      </c>
      <c r="AG35" s="8"/>
      <c r="AH35" s="8"/>
      <c r="AI35" s="16">
        <f t="shared" si="8"/>
        <v>28</v>
      </c>
      <c r="AJ35" s="13">
        <f t="shared" si="9"/>
        <v>4.2</v>
      </c>
      <c r="AK35" s="8">
        <v>100</v>
      </c>
      <c r="AL35" s="8">
        <v>100</v>
      </c>
      <c r="AM35" s="8">
        <v>0</v>
      </c>
      <c r="AN35" s="8"/>
      <c r="AO35" s="8"/>
      <c r="AP35" s="16">
        <f t="shared" si="10"/>
        <v>66.666666666666671</v>
      </c>
      <c r="AQ35" s="13">
        <f t="shared" si="11"/>
        <v>16.666666666666668</v>
      </c>
      <c r="AR35" s="8">
        <v>100</v>
      </c>
      <c r="AS35" s="8">
        <v>100</v>
      </c>
      <c r="AT35" s="8">
        <v>0</v>
      </c>
      <c r="AU35" s="8"/>
      <c r="AV35" s="8"/>
      <c r="AW35" s="16">
        <f t="shared" si="12"/>
        <v>66.666666666666671</v>
      </c>
      <c r="AX35" s="13">
        <f t="shared" si="13"/>
        <v>6.6666666666666679</v>
      </c>
      <c r="AY35" s="8">
        <v>42</v>
      </c>
      <c r="AZ35" s="13">
        <f t="shared" si="19"/>
        <v>16.8</v>
      </c>
      <c r="BA35" s="13">
        <v>5</v>
      </c>
      <c r="BB35" s="8"/>
      <c r="BC35" s="13" t="str">
        <f t="shared" si="14"/>
        <v/>
      </c>
      <c r="BD35" s="8"/>
      <c r="BE35" s="13" t="str">
        <f t="shared" si="15"/>
        <v/>
      </c>
      <c r="BF35" s="14">
        <f t="shared" si="16"/>
        <v>48.878787878787875</v>
      </c>
      <c r="BG35" s="15" t="str">
        <f t="shared" si="17"/>
        <v>E/F</v>
      </c>
      <c r="BH35" s="15" t="str">
        <f t="shared" si="18"/>
        <v>NOT PASS</v>
      </c>
    </row>
    <row r="36" spans="1:60" ht="16" customHeight="1" x14ac:dyDescent="0.2">
      <c r="A36" s="6">
        <v>22</v>
      </c>
      <c r="B36" s="6" t="s">
        <v>305</v>
      </c>
      <c r="C36" s="7" t="s">
        <v>306</v>
      </c>
      <c r="D36" s="6" t="s">
        <v>457</v>
      </c>
      <c r="E36" s="8" t="s">
        <v>362</v>
      </c>
      <c r="F36" s="8" t="s">
        <v>362</v>
      </c>
      <c r="G36" s="8" t="s">
        <v>364</v>
      </c>
      <c r="H36" s="8" t="s">
        <v>467</v>
      </c>
      <c r="I36" s="8" t="s">
        <v>467</v>
      </c>
      <c r="J36" s="8" t="s">
        <v>362</v>
      </c>
      <c r="K36" s="8" t="s">
        <v>364</v>
      </c>
      <c r="L36" s="8" t="s">
        <v>467</v>
      </c>
      <c r="M36" s="33"/>
      <c r="N36" s="8" t="s">
        <v>467</v>
      </c>
      <c r="O36" s="8" t="s">
        <v>362</v>
      </c>
      <c r="P36" s="8" t="s">
        <v>362</v>
      </c>
      <c r="Q36" s="8"/>
      <c r="R36" s="8"/>
      <c r="S36" s="8"/>
      <c r="T36" s="8"/>
      <c r="U36" s="33"/>
      <c r="V36" s="9">
        <f t="shared" si="0"/>
        <v>5</v>
      </c>
      <c r="W36" s="9">
        <f t="shared" si="1"/>
        <v>2</v>
      </c>
      <c r="X36" s="9">
        <f t="shared" si="2"/>
        <v>0</v>
      </c>
      <c r="Y36" s="9">
        <f t="shared" si="3"/>
        <v>4</v>
      </c>
      <c r="Z36" s="9">
        <f t="shared" si="4"/>
        <v>11</v>
      </c>
      <c r="AA36" s="10">
        <f t="shared" si="5"/>
        <v>0.45454545454545453</v>
      </c>
      <c r="AB36" s="11">
        <f t="shared" si="6"/>
        <v>4.545454545454545</v>
      </c>
      <c r="AC36" s="12" t="str">
        <f t="shared" si="7"/>
        <v>OK</v>
      </c>
      <c r="AD36" s="8">
        <v>100</v>
      </c>
      <c r="AE36" s="8">
        <v>0</v>
      </c>
      <c r="AF36" s="8">
        <v>0</v>
      </c>
      <c r="AG36" s="8"/>
      <c r="AH36" s="8"/>
      <c r="AI36" s="16">
        <f t="shared" si="8"/>
        <v>33.333333333333336</v>
      </c>
      <c r="AJ36" s="13">
        <f t="shared" si="9"/>
        <v>5.0000000000000009</v>
      </c>
      <c r="AK36" s="8">
        <v>100</v>
      </c>
      <c r="AL36" s="8">
        <v>0</v>
      </c>
      <c r="AM36" s="8">
        <v>0</v>
      </c>
      <c r="AN36" s="8"/>
      <c r="AO36" s="8"/>
      <c r="AP36" s="16">
        <f t="shared" si="10"/>
        <v>33.333333333333336</v>
      </c>
      <c r="AQ36" s="13">
        <f t="shared" si="11"/>
        <v>8.3333333333333339</v>
      </c>
      <c r="AR36" s="8">
        <v>100</v>
      </c>
      <c r="AS36" s="8">
        <v>100</v>
      </c>
      <c r="AT36" s="8">
        <v>100</v>
      </c>
      <c r="AU36" s="8"/>
      <c r="AV36" s="8"/>
      <c r="AW36" s="16">
        <f t="shared" si="12"/>
        <v>100</v>
      </c>
      <c r="AX36" s="13">
        <f t="shared" si="13"/>
        <v>10</v>
      </c>
      <c r="AY36" s="8">
        <v>42</v>
      </c>
      <c r="AZ36" s="13">
        <f t="shared" si="19"/>
        <v>16.8</v>
      </c>
      <c r="BA36" s="13">
        <v>3</v>
      </c>
      <c r="BB36" s="8"/>
      <c r="BC36" s="13" t="str">
        <f t="shared" si="14"/>
        <v/>
      </c>
      <c r="BD36" s="8"/>
      <c r="BE36" s="13" t="str">
        <f t="shared" si="15"/>
        <v/>
      </c>
      <c r="BF36" s="14">
        <f t="shared" si="16"/>
        <v>44.678787878787887</v>
      </c>
      <c r="BG36" s="15" t="str">
        <f t="shared" si="17"/>
        <v>E/F</v>
      </c>
      <c r="BH36" s="15" t="str">
        <f t="shared" si="18"/>
        <v>NOT PASS</v>
      </c>
    </row>
    <row r="37" spans="1:60" ht="16" customHeight="1" x14ac:dyDescent="0.2">
      <c r="A37" s="6">
        <v>23</v>
      </c>
      <c r="B37" s="6" t="s">
        <v>307</v>
      </c>
      <c r="C37" s="7" t="s">
        <v>308</v>
      </c>
      <c r="D37" s="6" t="s">
        <v>458</v>
      </c>
      <c r="E37" s="8" t="s">
        <v>362</v>
      </c>
      <c r="F37" s="8" t="s">
        <v>362</v>
      </c>
      <c r="G37" s="8" t="s">
        <v>364</v>
      </c>
      <c r="H37" s="8" t="s">
        <v>467</v>
      </c>
      <c r="I37" s="8" t="s">
        <v>467</v>
      </c>
      <c r="J37" s="8" t="s">
        <v>362</v>
      </c>
      <c r="K37" s="8" t="s">
        <v>362</v>
      </c>
      <c r="L37" s="8" t="s">
        <v>467</v>
      </c>
      <c r="M37" s="33"/>
      <c r="N37" s="8" t="s">
        <v>467</v>
      </c>
      <c r="O37" s="8" t="s">
        <v>362</v>
      </c>
      <c r="P37" s="8" t="s">
        <v>403</v>
      </c>
      <c r="Q37" s="8"/>
      <c r="R37" s="8"/>
      <c r="S37" s="8"/>
      <c r="T37" s="8"/>
      <c r="U37" s="33"/>
      <c r="V37" s="9">
        <f t="shared" si="0"/>
        <v>5</v>
      </c>
      <c r="W37" s="9">
        <f t="shared" si="1"/>
        <v>1</v>
      </c>
      <c r="X37" s="9">
        <f t="shared" si="2"/>
        <v>1</v>
      </c>
      <c r="Y37" s="9">
        <f t="shared" si="3"/>
        <v>4</v>
      </c>
      <c r="Z37" s="9">
        <f t="shared" si="4"/>
        <v>11</v>
      </c>
      <c r="AA37" s="10">
        <f t="shared" si="5"/>
        <v>0.54545454545454541</v>
      </c>
      <c r="AB37" s="11">
        <f t="shared" si="6"/>
        <v>5.4545454545454541</v>
      </c>
      <c r="AC37" s="12" t="str">
        <f t="shared" si="7"/>
        <v>OK</v>
      </c>
      <c r="AD37" s="8">
        <v>100</v>
      </c>
      <c r="AE37" s="8">
        <v>100</v>
      </c>
      <c r="AF37" s="8">
        <v>70</v>
      </c>
      <c r="AG37" s="8"/>
      <c r="AH37" s="8"/>
      <c r="AI37" s="16">
        <f t="shared" si="8"/>
        <v>90</v>
      </c>
      <c r="AJ37" s="13">
        <f t="shared" si="9"/>
        <v>13.5</v>
      </c>
      <c r="AK37" s="8">
        <v>100</v>
      </c>
      <c r="AL37" s="8">
        <v>0</v>
      </c>
      <c r="AM37" s="8">
        <v>100</v>
      </c>
      <c r="AN37" s="8"/>
      <c r="AO37" s="8"/>
      <c r="AP37" s="16">
        <f t="shared" si="10"/>
        <v>66.666666666666671</v>
      </c>
      <c r="AQ37" s="13">
        <f t="shared" si="11"/>
        <v>16.666666666666668</v>
      </c>
      <c r="AR37" s="8">
        <v>100</v>
      </c>
      <c r="AS37" s="8">
        <v>100</v>
      </c>
      <c r="AT37" s="8">
        <v>0</v>
      </c>
      <c r="AU37" s="8"/>
      <c r="AV37" s="8"/>
      <c r="AW37" s="16">
        <f t="shared" si="12"/>
        <v>66.666666666666671</v>
      </c>
      <c r="AX37" s="13">
        <f t="shared" si="13"/>
        <v>6.6666666666666679</v>
      </c>
      <c r="AY37" s="8">
        <v>44</v>
      </c>
      <c r="AZ37" s="13">
        <f t="shared" si="19"/>
        <v>17.600000000000001</v>
      </c>
      <c r="BA37" s="13"/>
      <c r="BB37" s="8"/>
      <c r="BC37" s="13" t="str">
        <f t="shared" si="14"/>
        <v/>
      </c>
      <c r="BD37" s="8"/>
      <c r="BE37" s="13" t="str">
        <f t="shared" si="15"/>
        <v/>
      </c>
      <c r="BF37" s="14">
        <f t="shared" si="16"/>
        <v>59.887878787878797</v>
      </c>
      <c r="BG37" s="15" t="str">
        <f t="shared" si="17"/>
        <v>D+</v>
      </c>
      <c r="BH37" s="15" t="str">
        <f t="shared" si="18"/>
        <v>PASS</v>
      </c>
    </row>
    <row r="38" spans="1:60" ht="16" customHeight="1" x14ac:dyDescent="0.2">
      <c r="A38" s="6">
        <v>24</v>
      </c>
      <c r="B38" s="6" t="s">
        <v>313</v>
      </c>
      <c r="C38" s="7" t="s">
        <v>314</v>
      </c>
      <c r="D38" s="6" t="s">
        <v>459</v>
      </c>
      <c r="E38" s="8" t="s">
        <v>362</v>
      </c>
      <c r="F38" s="8" t="s">
        <v>362</v>
      </c>
      <c r="G38" s="8" t="s">
        <v>362</v>
      </c>
      <c r="H38" s="8" t="s">
        <v>467</v>
      </c>
      <c r="I38" s="8" t="s">
        <v>467</v>
      </c>
      <c r="J38" s="8" t="s">
        <v>362</v>
      </c>
      <c r="K38" s="8" t="s">
        <v>364</v>
      </c>
      <c r="L38" s="8" t="s">
        <v>467</v>
      </c>
      <c r="M38" s="33"/>
      <c r="N38" s="8" t="s">
        <v>467</v>
      </c>
      <c r="O38" s="8" t="s">
        <v>362</v>
      </c>
      <c r="P38" s="8" t="s">
        <v>364</v>
      </c>
      <c r="Q38" s="8"/>
      <c r="R38" s="8"/>
      <c r="S38" s="8"/>
      <c r="T38" s="8"/>
      <c r="U38" s="33"/>
      <c r="V38" s="9">
        <f t="shared" si="0"/>
        <v>5</v>
      </c>
      <c r="W38" s="9">
        <f t="shared" si="1"/>
        <v>2</v>
      </c>
      <c r="X38" s="9">
        <f t="shared" si="2"/>
        <v>0</v>
      </c>
      <c r="Y38" s="9">
        <f t="shared" si="3"/>
        <v>4</v>
      </c>
      <c r="Z38" s="9">
        <f t="shared" si="4"/>
        <v>11</v>
      </c>
      <c r="AA38" s="10">
        <f t="shared" si="5"/>
        <v>0.45454545454545453</v>
      </c>
      <c r="AB38" s="11">
        <f t="shared" si="6"/>
        <v>4.545454545454545</v>
      </c>
      <c r="AC38" s="12" t="str">
        <f t="shared" si="7"/>
        <v>OK</v>
      </c>
      <c r="AD38" s="8">
        <v>100</v>
      </c>
      <c r="AE38" s="8">
        <v>0</v>
      </c>
      <c r="AF38" s="8">
        <v>94</v>
      </c>
      <c r="AG38" s="8"/>
      <c r="AH38" s="8"/>
      <c r="AI38" s="16">
        <f t="shared" si="8"/>
        <v>64.666666666666671</v>
      </c>
      <c r="AJ38" s="13">
        <f t="shared" si="9"/>
        <v>9.7000000000000011</v>
      </c>
      <c r="AK38" s="8">
        <v>100</v>
      </c>
      <c r="AL38" s="8">
        <v>100</v>
      </c>
      <c r="AM38" s="8">
        <v>0</v>
      </c>
      <c r="AN38" s="8"/>
      <c r="AO38" s="8"/>
      <c r="AP38" s="16">
        <f t="shared" si="10"/>
        <v>66.666666666666671</v>
      </c>
      <c r="AQ38" s="13">
        <f t="shared" si="11"/>
        <v>16.666666666666668</v>
      </c>
      <c r="AR38" s="8">
        <v>100</v>
      </c>
      <c r="AS38" s="8">
        <v>100</v>
      </c>
      <c r="AT38" s="8">
        <v>0</v>
      </c>
      <c r="AU38" s="8"/>
      <c r="AV38" s="8"/>
      <c r="AW38" s="16">
        <f t="shared" si="12"/>
        <v>66.666666666666671</v>
      </c>
      <c r="AX38" s="13">
        <f t="shared" si="13"/>
        <v>6.6666666666666679</v>
      </c>
      <c r="AY38" s="8">
        <v>42</v>
      </c>
      <c r="AZ38" s="13">
        <f t="shared" si="19"/>
        <v>16.8</v>
      </c>
      <c r="BA38" s="13"/>
      <c r="BB38" s="8"/>
      <c r="BC38" s="13" t="str">
        <f t="shared" si="14"/>
        <v/>
      </c>
      <c r="BD38" s="8"/>
      <c r="BE38" s="13" t="str">
        <f t="shared" si="15"/>
        <v/>
      </c>
      <c r="BF38" s="14">
        <f t="shared" si="16"/>
        <v>54.378787878787875</v>
      </c>
      <c r="BG38" s="15" t="str">
        <f t="shared" si="17"/>
        <v>D</v>
      </c>
      <c r="BH38" s="15" t="str">
        <f t="shared" si="18"/>
        <v>PASS</v>
      </c>
    </row>
    <row r="39" spans="1:60" ht="16" customHeight="1" x14ac:dyDescent="0.2">
      <c r="A39" s="6">
        <v>25</v>
      </c>
      <c r="B39" s="6" t="s">
        <v>315</v>
      </c>
      <c r="C39" s="7" t="s">
        <v>316</v>
      </c>
      <c r="D39" s="6" t="s">
        <v>379</v>
      </c>
      <c r="E39" s="8" t="s">
        <v>362</v>
      </c>
      <c r="F39" s="8" t="s">
        <v>364</v>
      </c>
      <c r="G39" s="8" t="s">
        <v>362</v>
      </c>
      <c r="H39" s="8" t="s">
        <v>467</v>
      </c>
      <c r="I39" s="8" t="s">
        <v>467</v>
      </c>
      <c r="J39" s="8" t="s">
        <v>362</v>
      </c>
      <c r="K39" s="8" t="s">
        <v>362</v>
      </c>
      <c r="L39" s="8" t="s">
        <v>467</v>
      </c>
      <c r="M39" s="33"/>
      <c r="N39" s="8" t="s">
        <v>467</v>
      </c>
      <c r="O39" s="8" t="s">
        <v>362</v>
      </c>
      <c r="P39" s="8" t="s">
        <v>362</v>
      </c>
      <c r="Q39" s="8"/>
      <c r="R39" s="8"/>
      <c r="S39" s="8"/>
      <c r="T39" s="8"/>
      <c r="U39" s="33"/>
      <c r="V39" s="9">
        <f t="shared" si="0"/>
        <v>6</v>
      </c>
      <c r="W39" s="9">
        <f t="shared" si="1"/>
        <v>1</v>
      </c>
      <c r="X39" s="9">
        <f t="shared" si="2"/>
        <v>0</v>
      </c>
      <c r="Y39" s="9">
        <f t="shared" si="3"/>
        <v>4</v>
      </c>
      <c r="Z39" s="9">
        <f t="shared" si="4"/>
        <v>11</v>
      </c>
      <c r="AA39" s="10">
        <f t="shared" si="5"/>
        <v>0.54545454545454541</v>
      </c>
      <c r="AB39" s="11">
        <f t="shared" si="6"/>
        <v>5.4545454545454541</v>
      </c>
      <c r="AC39" s="12" t="str">
        <f t="shared" si="7"/>
        <v>OK</v>
      </c>
      <c r="AD39" s="8">
        <v>84</v>
      </c>
      <c r="AE39" s="8">
        <v>0</v>
      </c>
      <c r="AF39" s="8">
        <v>86</v>
      </c>
      <c r="AG39" s="8"/>
      <c r="AH39" s="8"/>
      <c r="AI39" s="16">
        <f t="shared" si="8"/>
        <v>56.666666666666664</v>
      </c>
      <c r="AJ39" s="13">
        <f t="shared" si="9"/>
        <v>8.5</v>
      </c>
      <c r="AK39" s="8">
        <v>100</v>
      </c>
      <c r="AL39" s="8">
        <v>100</v>
      </c>
      <c r="AM39" s="8">
        <v>0</v>
      </c>
      <c r="AN39" s="8"/>
      <c r="AO39" s="8">
        <v>100</v>
      </c>
      <c r="AP39" s="16">
        <f t="shared" si="10"/>
        <v>75</v>
      </c>
      <c r="AQ39" s="13">
        <f t="shared" si="11"/>
        <v>18.75</v>
      </c>
      <c r="AR39" s="8">
        <v>100</v>
      </c>
      <c r="AS39" s="8">
        <v>0</v>
      </c>
      <c r="AT39" s="8">
        <v>100</v>
      </c>
      <c r="AU39" s="8"/>
      <c r="AV39" s="8"/>
      <c r="AW39" s="16">
        <f t="shared" si="12"/>
        <v>66.666666666666671</v>
      </c>
      <c r="AX39" s="13">
        <f t="shared" si="13"/>
        <v>6.6666666666666679</v>
      </c>
      <c r="AY39" s="8">
        <v>40</v>
      </c>
      <c r="AZ39" s="13">
        <f t="shared" si="19"/>
        <v>16</v>
      </c>
      <c r="BA39" s="13">
        <v>4</v>
      </c>
      <c r="BB39" s="8"/>
      <c r="BC39" s="13" t="str">
        <f t="shared" si="14"/>
        <v/>
      </c>
      <c r="BD39" s="8"/>
      <c r="BE39" s="13" t="str">
        <f t="shared" si="15"/>
        <v/>
      </c>
      <c r="BF39" s="14">
        <f t="shared" si="16"/>
        <v>55.371212121212125</v>
      </c>
      <c r="BG39" s="15" t="str">
        <f t="shared" si="17"/>
        <v>D+</v>
      </c>
      <c r="BH39" s="15" t="str">
        <f t="shared" si="18"/>
        <v>PASS</v>
      </c>
    </row>
    <row r="40" spans="1:60" ht="16" customHeight="1" x14ac:dyDescent="0.2">
      <c r="A40" s="6">
        <v>26</v>
      </c>
      <c r="B40" s="6" t="s">
        <v>317</v>
      </c>
      <c r="C40" s="7" t="s">
        <v>318</v>
      </c>
      <c r="D40" s="6" t="s">
        <v>460</v>
      </c>
      <c r="E40" s="8" t="s">
        <v>362</v>
      </c>
      <c r="F40" s="8" t="s">
        <v>364</v>
      </c>
      <c r="G40" s="8" t="s">
        <v>364</v>
      </c>
      <c r="H40" s="8" t="s">
        <v>467</v>
      </c>
      <c r="I40" s="8" t="s">
        <v>467</v>
      </c>
      <c r="J40" s="8" t="s">
        <v>362</v>
      </c>
      <c r="K40" s="8" t="s">
        <v>362</v>
      </c>
      <c r="L40" s="8" t="s">
        <v>467</v>
      </c>
      <c r="M40" s="33"/>
      <c r="N40" s="8" t="s">
        <v>467</v>
      </c>
      <c r="O40" s="8" t="s">
        <v>364</v>
      </c>
      <c r="P40" s="8" t="s">
        <v>364</v>
      </c>
      <c r="Q40" s="8"/>
      <c r="R40" s="8"/>
      <c r="S40" s="8"/>
      <c r="T40" s="8"/>
      <c r="U40" s="33"/>
      <c r="V40" s="9">
        <f t="shared" si="0"/>
        <v>3</v>
      </c>
      <c r="W40" s="9">
        <f t="shared" si="1"/>
        <v>4</v>
      </c>
      <c r="X40" s="9">
        <f t="shared" si="2"/>
        <v>0</v>
      </c>
      <c r="Y40" s="9">
        <f t="shared" si="3"/>
        <v>4</v>
      </c>
      <c r="Z40" s="9">
        <f t="shared" si="4"/>
        <v>11</v>
      </c>
      <c r="AA40" s="10">
        <f t="shared" si="5"/>
        <v>0.27272727272727271</v>
      </c>
      <c r="AB40" s="11">
        <f t="shared" si="6"/>
        <v>2.7272727272727271</v>
      </c>
      <c r="AC40" s="12" t="str">
        <f t="shared" si="7"/>
        <v>MAXIMUM ABSENCES REACHED</v>
      </c>
      <c r="AD40" s="8">
        <v>0</v>
      </c>
      <c r="AE40" s="8">
        <v>0</v>
      </c>
      <c r="AF40" s="8">
        <v>0</v>
      </c>
      <c r="AG40" s="8"/>
      <c r="AH40" s="8"/>
      <c r="AI40" s="16">
        <f t="shared" si="8"/>
        <v>0</v>
      </c>
      <c r="AJ40" s="13">
        <f t="shared" si="9"/>
        <v>0</v>
      </c>
      <c r="AK40" s="8">
        <v>100</v>
      </c>
      <c r="AL40" s="8">
        <v>0</v>
      </c>
      <c r="AM40" s="8">
        <v>0</v>
      </c>
      <c r="AN40" s="8"/>
      <c r="AO40" s="8"/>
      <c r="AP40" s="16">
        <f t="shared" si="10"/>
        <v>33.333333333333336</v>
      </c>
      <c r="AQ40" s="13">
        <f t="shared" si="11"/>
        <v>8.3333333333333339</v>
      </c>
      <c r="AR40" s="8">
        <v>100</v>
      </c>
      <c r="AS40" s="8">
        <v>0</v>
      </c>
      <c r="AT40" s="8">
        <v>0</v>
      </c>
      <c r="AU40" s="8"/>
      <c r="AV40" s="8"/>
      <c r="AW40" s="16">
        <f t="shared" si="12"/>
        <v>33.333333333333336</v>
      </c>
      <c r="AX40" s="13">
        <f t="shared" si="13"/>
        <v>3.3333333333333339</v>
      </c>
      <c r="AY40" s="8"/>
      <c r="AZ40" s="13" t="str">
        <f t="shared" si="19"/>
        <v/>
      </c>
      <c r="BA40" s="13">
        <v>4</v>
      </c>
      <c r="BB40" s="8"/>
      <c r="BC40" s="13" t="str">
        <f t="shared" si="14"/>
        <v/>
      </c>
      <c r="BD40" s="8"/>
      <c r="BE40" s="13" t="str">
        <f t="shared" si="15"/>
        <v/>
      </c>
      <c r="BF40" s="14">
        <f t="shared" si="16"/>
        <v>14.393939393939394</v>
      </c>
      <c r="BG40" s="15" t="str">
        <f t="shared" si="17"/>
        <v>E/F</v>
      </c>
      <c r="BH40" s="15" t="str">
        <f t="shared" si="18"/>
        <v>NOT PASS</v>
      </c>
    </row>
    <row r="41" spans="1:60" ht="16" customHeight="1" x14ac:dyDescent="0.2">
      <c r="A41" s="6">
        <v>27</v>
      </c>
      <c r="B41" s="6" t="s">
        <v>319</v>
      </c>
      <c r="C41" s="7" t="s">
        <v>320</v>
      </c>
      <c r="D41" s="6" t="s">
        <v>366</v>
      </c>
      <c r="E41" s="8" t="s">
        <v>362</v>
      </c>
      <c r="F41" s="8" t="s">
        <v>364</v>
      </c>
      <c r="G41" s="8" t="s">
        <v>362</v>
      </c>
      <c r="H41" s="8" t="s">
        <v>467</v>
      </c>
      <c r="I41" s="8" t="s">
        <v>467</v>
      </c>
      <c r="J41" s="8" t="s">
        <v>364</v>
      </c>
      <c r="K41" s="8" t="s">
        <v>362</v>
      </c>
      <c r="L41" s="8" t="s">
        <v>467</v>
      </c>
      <c r="M41" s="33"/>
      <c r="N41" s="8" t="s">
        <v>467</v>
      </c>
      <c r="O41" s="8" t="s">
        <v>362</v>
      </c>
      <c r="P41" s="8" t="s">
        <v>362</v>
      </c>
      <c r="Q41" s="8"/>
      <c r="R41" s="8"/>
      <c r="S41" s="8"/>
      <c r="T41" s="8"/>
      <c r="U41" s="33"/>
      <c r="V41" s="9">
        <f t="shared" si="0"/>
        <v>5</v>
      </c>
      <c r="W41" s="9">
        <f t="shared" si="1"/>
        <v>2</v>
      </c>
      <c r="X41" s="9">
        <f t="shared" si="2"/>
        <v>0</v>
      </c>
      <c r="Y41" s="9">
        <f t="shared" si="3"/>
        <v>4</v>
      </c>
      <c r="Z41" s="9">
        <f t="shared" si="4"/>
        <v>11</v>
      </c>
      <c r="AA41" s="10">
        <f t="shared" si="5"/>
        <v>0.45454545454545453</v>
      </c>
      <c r="AB41" s="11">
        <f t="shared" si="6"/>
        <v>4.545454545454545</v>
      </c>
      <c r="AC41" s="12" t="str">
        <f t="shared" si="7"/>
        <v>OK</v>
      </c>
      <c r="AD41" s="8">
        <v>94</v>
      </c>
      <c r="AE41" s="8">
        <v>0</v>
      </c>
      <c r="AF41" s="8">
        <v>0</v>
      </c>
      <c r="AG41" s="8"/>
      <c r="AH41" s="8"/>
      <c r="AI41" s="16">
        <f t="shared" si="8"/>
        <v>31.333333333333332</v>
      </c>
      <c r="AJ41" s="13">
        <f t="shared" si="9"/>
        <v>4.6999999999999993</v>
      </c>
      <c r="AK41" s="8">
        <v>100</v>
      </c>
      <c r="AL41" s="8">
        <v>100</v>
      </c>
      <c r="AM41" s="8">
        <v>0</v>
      </c>
      <c r="AN41" s="8"/>
      <c r="AO41" s="8">
        <v>100</v>
      </c>
      <c r="AP41" s="16">
        <f t="shared" si="10"/>
        <v>75</v>
      </c>
      <c r="AQ41" s="13">
        <f t="shared" si="11"/>
        <v>18.75</v>
      </c>
      <c r="AR41" s="8">
        <v>100</v>
      </c>
      <c r="AS41" s="8">
        <v>0</v>
      </c>
      <c r="AT41" s="8">
        <v>100</v>
      </c>
      <c r="AU41" s="8"/>
      <c r="AV41" s="8"/>
      <c r="AW41" s="16">
        <f t="shared" si="12"/>
        <v>66.666666666666671</v>
      </c>
      <c r="AX41" s="13">
        <f t="shared" si="13"/>
        <v>6.6666666666666679</v>
      </c>
      <c r="AY41" s="8">
        <v>42</v>
      </c>
      <c r="AZ41" s="13">
        <f t="shared" si="19"/>
        <v>16.8</v>
      </c>
      <c r="BA41" s="13">
        <v>4</v>
      </c>
      <c r="BB41" s="8"/>
      <c r="BC41" s="13" t="str">
        <f t="shared" si="14"/>
        <v/>
      </c>
      <c r="BD41" s="8"/>
      <c r="BE41" s="13" t="str">
        <f t="shared" si="15"/>
        <v/>
      </c>
      <c r="BF41" s="14">
        <f t="shared" si="16"/>
        <v>51.462121212121204</v>
      </c>
      <c r="BG41" s="15" t="str">
        <f t="shared" si="17"/>
        <v>D</v>
      </c>
      <c r="BH41" s="15" t="str">
        <f t="shared" si="18"/>
        <v>PASS</v>
      </c>
    </row>
    <row r="42" spans="1:60" ht="16" customHeight="1" x14ac:dyDescent="0.2">
      <c r="A42" s="6">
        <v>28</v>
      </c>
      <c r="B42" s="6" t="s">
        <v>321</v>
      </c>
      <c r="C42" s="7" t="s">
        <v>322</v>
      </c>
      <c r="D42" s="6" t="s">
        <v>368</v>
      </c>
      <c r="E42" s="8" t="s">
        <v>362</v>
      </c>
      <c r="F42" s="8" t="s">
        <v>362</v>
      </c>
      <c r="G42" s="8" t="s">
        <v>364</v>
      </c>
      <c r="H42" s="8" t="s">
        <v>467</v>
      </c>
      <c r="I42" s="8" t="s">
        <v>467</v>
      </c>
      <c r="J42" s="8" t="s">
        <v>364</v>
      </c>
      <c r="K42" s="8" t="s">
        <v>362</v>
      </c>
      <c r="L42" s="8" t="s">
        <v>467</v>
      </c>
      <c r="M42" s="33"/>
      <c r="N42" s="8" t="s">
        <v>467</v>
      </c>
      <c r="O42" s="8" t="s">
        <v>362</v>
      </c>
      <c r="P42" s="8" t="s">
        <v>364</v>
      </c>
      <c r="Q42" s="8"/>
      <c r="R42" s="8"/>
      <c r="S42" s="8"/>
      <c r="T42" s="8"/>
      <c r="U42" s="33"/>
      <c r="V42" s="9">
        <f t="shared" si="0"/>
        <v>4</v>
      </c>
      <c r="W42" s="9">
        <f t="shared" si="1"/>
        <v>3</v>
      </c>
      <c r="X42" s="9">
        <f t="shared" si="2"/>
        <v>0</v>
      </c>
      <c r="Y42" s="9">
        <f t="shared" si="3"/>
        <v>4</v>
      </c>
      <c r="Z42" s="9">
        <f t="shared" si="4"/>
        <v>11</v>
      </c>
      <c r="AA42" s="10">
        <f t="shared" si="5"/>
        <v>0.36363636363636365</v>
      </c>
      <c r="AB42" s="11">
        <f t="shared" si="6"/>
        <v>3.6363636363636367</v>
      </c>
      <c r="AC42" s="12" t="str">
        <f t="shared" si="7"/>
        <v>WARNING: 3 absences</v>
      </c>
      <c r="AD42" s="8">
        <v>0</v>
      </c>
      <c r="AE42" s="8">
        <v>100</v>
      </c>
      <c r="AF42" s="8">
        <v>0</v>
      </c>
      <c r="AG42" s="8"/>
      <c r="AH42" s="8"/>
      <c r="AI42" s="16">
        <f t="shared" si="8"/>
        <v>33.333333333333336</v>
      </c>
      <c r="AJ42" s="13">
        <f t="shared" si="9"/>
        <v>5.0000000000000009</v>
      </c>
      <c r="AK42" s="8">
        <v>100</v>
      </c>
      <c r="AL42" s="8">
        <v>0</v>
      </c>
      <c r="AM42" s="8">
        <v>100</v>
      </c>
      <c r="AN42" s="8"/>
      <c r="AO42" s="8"/>
      <c r="AP42" s="16">
        <f t="shared" si="10"/>
        <v>66.666666666666671</v>
      </c>
      <c r="AQ42" s="13">
        <f t="shared" si="11"/>
        <v>16.666666666666668</v>
      </c>
      <c r="AR42" s="8">
        <v>100</v>
      </c>
      <c r="AS42" s="8">
        <v>100</v>
      </c>
      <c r="AT42" s="8">
        <v>0</v>
      </c>
      <c r="AU42" s="8"/>
      <c r="AV42" s="8"/>
      <c r="AW42" s="16">
        <f t="shared" si="12"/>
        <v>66.666666666666671</v>
      </c>
      <c r="AX42" s="13">
        <f t="shared" si="13"/>
        <v>6.6666666666666679</v>
      </c>
      <c r="AY42" s="8">
        <v>40</v>
      </c>
      <c r="AZ42" s="13">
        <f t="shared" si="19"/>
        <v>16</v>
      </c>
      <c r="BA42" s="13"/>
      <c r="BB42" s="8"/>
      <c r="BC42" s="13" t="str">
        <f t="shared" si="14"/>
        <v/>
      </c>
      <c r="BD42" s="8"/>
      <c r="BE42" s="13" t="str">
        <f t="shared" si="15"/>
        <v/>
      </c>
      <c r="BF42" s="14">
        <f t="shared" si="16"/>
        <v>47.969696969696969</v>
      </c>
      <c r="BG42" s="15" t="str">
        <f t="shared" si="17"/>
        <v>E/F</v>
      </c>
      <c r="BH42" s="15" t="str">
        <f t="shared" si="18"/>
        <v>NOT PASS</v>
      </c>
    </row>
    <row r="43" spans="1:60" ht="16" customHeight="1" x14ac:dyDescent="0.2">
      <c r="A43" s="6">
        <v>29</v>
      </c>
      <c r="B43" s="6" t="s">
        <v>323</v>
      </c>
      <c r="C43" s="7" t="s">
        <v>324</v>
      </c>
      <c r="D43" s="6" t="s">
        <v>461</v>
      </c>
      <c r="E43" s="8" t="s">
        <v>362</v>
      </c>
      <c r="F43" s="8" t="s">
        <v>364</v>
      </c>
      <c r="G43" s="8" t="s">
        <v>362</v>
      </c>
      <c r="H43" s="8" t="s">
        <v>467</v>
      </c>
      <c r="I43" s="8" t="s">
        <v>467</v>
      </c>
      <c r="J43" s="8" t="s">
        <v>364</v>
      </c>
      <c r="K43" s="8" t="s">
        <v>362</v>
      </c>
      <c r="L43" s="8" t="s">
        <v>467</v>
      </c>
      <c r="M43" s="33"/>
      <c r="N43" s="8" t="s">
        <v>467</v>
      </c>
      <c r="O43" s="8" t="s">
        <v>362</v>
      </c>
      <c r="P43" s="8" t="s">
        <v>362</v>
      </c>
      <c r="Q43" s="8"/>
      <c r="R43" s="8"/>
      <c r="S43" s="8"/>
      <c r="T43" s="8"/>
      <c r="U43" s="33"/>
      <c r="V43" s="9">
        <f t="shared" si="0"/>
        <v>5</v>
      </c>
      <c r="W43" s="9">
        <f t="shared" si="1"/>
        <v>2</v>
      </c>
      <c r="X43" s="9">
        <f t="shared" si="2"/>
        <v>0</v>
      </c>
      <c r="Y43" s="9">
        <f t="shared" si="3"/>
        <v>4</v>
      </c>
      <c r="Z43" s="9">
        <f t="shared" si="4"/>
        <v>11</v>
      </c>
      <c r="AA43" s="10">
        <f t="shared" si="5"/>
        <v>0.45454545454545453</v>
      </c>
      <c r="AB43" s="11">
        <f t="shared" si="6"/>
        <v>4.545454545454545</v>
      </c>
      <c r="AC43" s="12" t="str">
        <f t="shared" si="7"/>
        <v>OK</v>
      </c>
      <c r="AD43" s="8">
        <v>100</v>
      </c>
      <c r="AE43" s="8">
        <v>0</v>
      </c>
      <c r="AF43" s="8">
        <v>0</v>
      </c>
      <c r="AG43" s="8"/>
      <c r="AH43" s="8"/>
      <c r="AI43" s="16">
        <f t="shared" si="8"/>
        <v>33.333333333333336</v>
      </c>
      <c r="AJ43" s="13">
        <f t="shared" si="9"/>
        <v>5.0000000000000009</v>
      </c>
      <c r="AK43" s="8">
        <v>100</v>
      </c>
      <c r="AL43" s="8">
        <v>100</v>
      </c>
      <c r="AM43" s="8">
        <v>0</v>
      </c>
      <c r="AN43" s="8"/>
      <c r="AO43" s="8"/>
      <c r="AP43" s="16">
        <f t="shared" si="10"/>
        <v>66.666666666666671</v>
      </c>
      <c r="AQ43" s="13">
        <f t="shared" si="11"/>
        <v>16.666666666666668</v>
      </c>
      <c r="AR43" s="8">
        <v>100</v>
      </c>
      <c r="AS43" s="8">
        <v>100</v>
      </c>
      <c r="AT43" s="8">
        <v>100</v>
      </c>
      <c r="AU43" s="8"/>
      <c r="AV43" s="8"/>
      <c r="AW43" s="16">
        <f t="shared" si="12"/>
        <v>100</v>
      </c>
      <c r="AX43" s="13">
        <f t="shared" si="13"/>
        <v>10</v>
      </c>
      <c r="AY43" s="8">
        <v>44</v>
      </c>
      <c r="AZ43" s="13">
        <f t="shared" si="19"/>
        <v>17.600000000000001</v>
      </c>
      <c r="BA43" s="13"/>
      <c r="BB43" s="8"/>
      <c r="BC43" s="13" t="str">
        <f t="shared" si="14"/>
        <v/>
      </c>
      <c r="BD43" s="8"/>
      <c r="BE43" s="13" t="str">
        <f t="shared" si="15"/>
        <v/>
      </c>
      <c r="BF43" s="14">
        <f t="shared" si="16"/>
        <v>53.81212121212122</v>
      </c>
      <c r="BG43" s="15" t="str">
        <f t="shared" si="17"/>
        <v>D</v>
      </c>
      <c r="BH43" s="15" t="str">
        <f t="shared" si="18"/>
        <v>PASS</v>
      </c>
    </row>
    <row r="44" spans="1:60" ht="16" customHeight="1" x14ac:dyDescent="0.2">
      <c r="A44" s="6">
        <v>30</v>
      </c>
      <c r="B44" s="6" t="s">
        <v>358</v>
      </c>
      <c r="C44" s="7" t="s">
        <v>359</v>
      </c>
      <c r="D44" s="6" t="s">
        <v>462</v>
      </c>
      <c r="E44" s="8" t="s">
        <v>362</v>
      </c>
      <c r="F44" s="8" t="s">
        <v>362</v>
      </c>
      <c r="G44" s="8" t="s">
        <v>364</v>
      </c>
      <c r="H44" s="8" t="s">
        <v>467</v>
      </c>
      <c r="I44" s="8" t="s">
        <v>467</v>
      </c>
      <c r="J44" s="8" t="s">
        <v>362</v>
      </c>
      <c r="K44" s="8" t="s">
        <v>362</v>
      </c>
      <c r="L44" s="8" t="s">
        <v>467</v>
      </c>
      <c r="M44" s="33"/>
      <c r="N44" s="8" t="s">
        <v>467</v>
      </c>
      <c r="O44" s="8" t="s">
        <v>362</v>
      </c>
      <c r="P44" s="8" t="s">
        <v>362</v>
      </c>
      <c r="Q44" s="8"/>
      <c r="R44" s="8"/>
      <c r="S44" s="8"/>
      <c r="T44" s="8"/>
      <c r="U44" s="33"/>
      <c r="V44" s="9">
        <f t="shared" si="0"/>
        <v>6</v>
      </c>
      <c r="W44" s="9">
        <f t="shared" si="1"/>
        <v>1</v>
      </c>
      <c r="X44" s="9">
        <f t="shared" si="2"/>
        <v>0</v>
      </c>
      <c r="Y44" s="9">
        <f t="shared" si="3"/>
        <v>4</v>
      </c>
      <c r="Z44" s="9">
        <f t="shared" si="4"/>
        <v>11</v>
      </c>
      <c r="AA44" s="10">
        <f t="shared" si="5"/>
        <v>0.54545454545454541</v>
      </c>
      <c r="AB44" s="11">
        <f t="shared" si="6"/>
        <v>5.4545454545454541</v>
      </c>
      <c r="AC44" s="12" t="str">
        <f t="shared" si="7"/>
        <v>OK</v>
      </c>
      <c r="AD44" s="8">
        <v>100</v>
      </c>
      <c r="AE44" s="8">
        <v>100</v>
      </c>
      <c r="AF44" s="8">
        <v>96</v>
      </c>
      <c r="AG44" s="8"/>
      <c r="AH44" s="8"/>
      <c r="AI44" s="16">
        <f t="shared" si="8"/>
        <v>98.666666666666671</v>
      </c>
      <c r="AJ44" s="13">
        <f t="shared" si="9"/>
        <v>14.8</v>
      </c>
      <c r="AK44" s="8">
        <v>100</v>
      </c>
      <c r="AL44" s="8">
        <v>0</v>
      </c>
      <c r="AM44" s="8">
        <v>100</v>
      </c>
      <c r="AN44" s="8"/>
      <c r="AO44" s="8">
        <v>100</v>
      </c>
      <c r="AP44" s="16">
        <f t="shared" si="10"/>
        <v>75</v>
      </c>
      <c r="AQ44" s="13">
        <f t="shared" si="11"/>
        <v>18.75</v>
      </c>
      <c r="AR44" s="8">
        <v>100</v>
      </c>
      <c r="AS44" s="8">
        <v>100</v>
      </c>
      <c r="AT44" s="8">
        <v>100</v>
      </c>
      <c r="AU44" s="8"/>
      <c r="AV44" s="8"/>
      <c r="AW44" s="16">
        <f t="shared" si="12"/>
        <v>100</v>
      </c>
      <c r="AX44" s="13">
        <f t="shared" si="13"/>
        <v>10</v>
      </c>
      <c r="AY44" s="8">
        <v>50</v>
      </c>
      <c r="AZ44" s="13">
        <f t="shared" si="19"/>
        <v>20</v>
      </c>
      <c r="BA44" s="13">
        <v>1</v>
      </c>
      <c r="BB44" s="8"/>
      <c r="BC44" s="13" t="str">
        <f t="shared" si="14"/>
        <v/>
      </c>
      <c r="BD44" s="8"/>
      <c r="BE44" s="13" t="str">
        <f t="shared" si="15"/>
        <v/>
      </c>
      <c r="BF44" s="14">
        <f t="shared" si="16"/>
        <v>69.00454545454545</v>
      </c>
      <c r="BG44" s="15" t="str">
        <f t="shared" si="17"/>
        <v>C+</v>
      </c>
      <c r="BH44" s="15" t="str">
        <f t="shared" si="18"/>
        <v>PASS</v>
      </c>
    </row>
    <row r="45" spans="1:60" ht="16" customHeight="1" x14ac:dyDescent="0.2">
      <c r="A45" s="6">
        <v>31</v>
      </c>
      <c r="B45" s="6" t="s">
        <v>287</v>
      </c>
      <c r="C45" s="7" t="s">
        <v>288</v>
      </c>
      <c r="D45" s="6" t="s">
        <v>463</v>
      </c>
      <c r="E45" s="8" t="s">
        <v>362</v>
      </c>
      <c r="F45" s="8" t="s">
        <v>362</v>
      </c>
      <c r="G45" s="8" t="s">
        <v>362</v>
      </c>
      <c r="H45" s="8" t="s">
        <v>467</v>
      </c>
      <c r="I45" s="8" t="s">
        <v>467</v>
      </c>
      <c r="J45" s="8" t="s">
        <v>362</v>
      </c>
      <c r="K45" s="8" t="s">
        <v>362</v>
      </c>
      <c r="L45" s="8" t="s">
        <v>467</v>
      </c>
      <c r="M45" s="33"/>
      <c r="N45" s="8" t="s">
        <v>467</v>
      </c>
      <c r="O45" s="8" t="s">
        <v>362</v>
      </c>
      <c r="P45" s="8" t="s">
        <v>362</v>
      </c>
      <c r="Q45" s="8"/>
      <c r="R45" s="8"/>
      <c r="S45" s="8"/>
      <c r="T45" s="8"/>
      <c r="U45" s="33"/>
      <c r="V45" s="9">
        <f t="shared" si="0"/>
        <v>7</v>
      </c>
      <c r="W45" s="9">
        <f t="shared" si="1"/>
        <v>0</v>
      </c>
      <c r="X45" s="9">
        <f t="shared" si="2"/>
        <v>0</v>
      </c>
      <c r="Y45" s="9">
        <f t="shared" si="3"/>
        <v>4</v>
      </c>
      <c r="Z45" s="9">
        <f t="shared" si="4"/>
        <v>11</v>
      </c>
      <c r="AA45" s="10">
        <f t="shared" si="5"/>
        <v>0.63636363636363635</v>
      </c>
      <c r="AB45" s="11">
        <f t="shared" si="6"/>
        <v>6.3636363636363633</v>
      </c>
      <c r="AC45" s="12" t="str">
        <f t="shared" si="7"/>
        <v>OK</v>
      </c>
      <c r="AD45" s="8">
        <v>100</v>
      </c>
      <c r="AE45" s="8">
        <v>100</v>
      </c>
      <c r="AF45" s="8">
        <v>86</v>
      </c>
      <c r="AG45" s="8"/>
      <c r="AH45" s="8"/>
      <c r="AI45" s="16">
        <f t="shared" si="8"/>
        <v>95.333333333333329</v>
      </c>
      <c r="AJ45" s="13">
        <f t="shared" si="9"/>
        <v>14.299999999999999</v>
      </c>
      <c r="AK45" s="8">
        <v>100</v>
      </c>
      <c r="AL45" s="8">
        <v>100</v>
      </c>
      <c r="AM45" s="8">
        <v>100</v>
      </c>
      <c r="AN45" s="8"/>
      <c r="AO45" s="8"/>
      <c r="AP45" s="16">
        <f t="shared" si="10"/>
        <v>100</v>
      </c>
      <c r="AQ45" s="13">
        <f t="shared" si="11"/>
        <v>25</v>
      </c>
      <c r="AR45" s="8">
        <v>100</v>
      </c>
      <c r="AS45" s="8">
        <v>100</v>
      </c>
      <c r="AT45" s="8">
        <v>100</v>
      </c>
      <c r="AU45" s="8"/>
      <c r="AV45" s="8"/>
      <c r="AW45" s="16">
        <f t="shared" si="12"/>
        <v>100</v>
      </c>
      <c r="AX45" s="13">
        <f t="shared" si="13"/>
        <v>10</v>
      </c>
      <c r="AY45" s="8">
        <v>44</v>
      </c>
      <c r="AZ45" s="13">
        <f t="shared" si="19"/>
        <v>17.600000000000001</v>
      </c>
      <c r="BA45" s="13">
        <v>1</v>
      </c>
      <c r="BB45" s="8"/>
      <c r="BC45" s="13" t="str">
        <f t="shared" si="14"/>
        <v/>
      </c>
      <c r="BD45" s="8"/>
      <c r="BE45" s="13" t="str">
        <f t="shared" si="15"/>
        <v/>
      </c>
      <c r="BF45" s="14">
        <f t="shared" si="16"/>
        <v>73.263636363636365</v>
      </c>
      <c r="BG45" s="15" t="str">
        <f t="shared" si="17"/>
        <v>B</v>
      </c>
      <c r="BH45" s="15" t="str">
        <f t="shared" si="18"/>
        <v>PASS</v>
      </c>
    </row>
    <row r="46" spans="1:60" ht="16" customHeight="1" x14ac:dyDescent="0.2">
      <c r="A46" s="6">
        <v>32</v>
      </c>
      <c r="B46" s="6" t="s">
        <v>289</v>
      </c>
      <c r="C46" s="7" t="s">
        <v>290</v>
      </c>
      <c r="D46" s="6" t="s">
        <v>464</v>
      </c>
      <c r="E46" s="8" t="s">
        <v>362</v>
      </c>
      <c r="F46" s="8" t="s">
        <v>362</v>
      </c>
      <c r="G46" s="8" t="s">
        <v>362</v>
      </c>
      <c r="H46" s="8" t="s">
        <v>467</v>
      </c>
      <c r="I46" s="8" t="s">
        <v>467</v>
      </c>
      <c r="J46" s="8" t="s">
        <v>362</v>
      </c>
      <c r="K46" s="8" t="s">
        <v>362</v>
      </c>
      <c r="L46" s="8" t="s">
        <v>467</v>
      </c>
      <c r="M46" s="33"/>
      <c r="N46" s="8" t="s">
        <v>467</v>
      </c>
      <c r="O46" s="8" t="s">
        <v>362</v>
      </c>
      <c r="P46" s="8" t="s">
        <v>364</v>
      </c>
      <c r="Q46" s="8"/>
      <c r="R46" s="8"/>
      <c r="S46" s="8"/>
      <c r="T46" s="8"/>
      <c r="U46" s="33"/>
      <c r="V46" s="9">
        <f t="shared" si="0"/>
        <v>6</v>
      </c>
      <c r="W46" s="9">
        <f t="shared" si="1"/>
        <v>1</v>
      </c>
      <c r="X46" s="9">
        <f t="shared" si="2"/>
        <v>0</v>
      </c>
      <c r="Y46" s="9">
        <f t="shared" si="3"/>
        <v>4</v>
      </c>
      <c r="Z46" s="9">
        <f t="shared" si="4"/>
        <v>11</v>
      </c>
      <c r="AA46" s="10">
        <f t="shared" si="5"/>
        <v>0.54545454545454541</v>
      </c>
      <c r="AB46" s="11">
        <f t="shared" si="6"/>
        <v>5.4545454545454541</v>
      </c>
      <c r="AC46" s="12" t="str">
        <f t="shared" si="7"/>
        <v>OK</v>
      </c>
      <c r="AD46" s="8">
        <v>100</v>
      </c>
      <c r="AE46" s="8">
        <v>100</v>
      </c>
      <c r="AF46" s="8">
        <v>86</v>
      </c>
      <c r="AG46" s="8"/>
      <c r="AH46" s="8"/>
      <c r="AI46" s="16">
        <f t="shared" si="8"/>
        <v>95.333333333333329</v>
      </c>
      <c r="AJ46" s="13">
        <f t="shared" si="9"/>
        <v>14.299999999999999</v>
      </c>
      <c r="AK46" s="8">
        <v>100</v>
      </c>
      <c r="AL46" s="8">
        <v>100</v>
      </c>
      <c r="AM46" s="8">
        <v>100</v>
      </c>
      <c r="AN46" s="8"/>
      <c r="AO46" s="8">
        <v>100</v>
      </c>
      <c r="AP46" s="16">
        <f t="shared" si="10"/>
        <v>100</v>
      </c>
      <c r="AQ46" s="13">
        <f t="shared" si="11"/>
        <v>25</v>
      </c>
      <c r="AR46" s="8">
        <v>100</v>
      </c>
      <c r="AS46" s="8">
        <v>100</v>
      </c>
      <c r="AT46" s="8">
        <v>0</v>
      </c>
      <c r="AU46" s="8"/>
      <c r="AV46" s="8"/>
      <c r="AW46" s="16">
        <f t="shared" si="12"/>
        <v>66.666666666666671</v>
      </c>
      <c r="AX46" s="13">
        <f t="shared" si="13"/>
        <v>6.6666666666666679</v>
      </c>
      <c r="AY46" s="8">
        <v>31</v>
      </c>
      <c r="AZ46" s="13">
        <f t="shared" si="19"/>
        <v>12.4</v>
      </c>
      <c r="BA46" s="13">
        <v>1</v>
      </c>
      <c r="BB46" s="8"/>
      <c r="BC46" s="13" t="str">
        <f t="shared" si="14"/>
        <v/>
      </c>
      <c r="BD46" s="8"/>
      <c r="BE46" s="13" t="str">
        <f t="shared" si="15"/>
        <v/>
      </c>
      <c r="BF46" s="14">
        <f t="shared" si="16"/>
        <v>63.82121212121212</v>
      </c>
      <c r="BG46" s="15" t="str">
        <f t="shared" si="17"/>
        <v>C</v>
      </c>
      <c r="BH46" s="15" t="str">
        <f t="shared" si="18"/>
        <v>PASS</v>
      </c>
    </row>
    <row r="47" spans="1:60" ht="16" customHeight="1" x14ac:dyDescent="0.2">
      <c r="A47" s="6">
        <v>33</v>
      </c>
      <c r="B47" s="6" t="s">
        <v>360</v>
      </c>
      <c r="C47" s="7" t="s">
        <v>361</v>
      </c>
      <c r="D47" s="6" t="s">
        <v>465</v>
      </c>
      <c r="E47" s="8" t="s">
        <v>362</v>
      </c>
      <c r="F47" s="8" t="s">
        <v>362</v>
      </c>
      <c r="G47" s="8" t="s">
        <v>362</v>
      </c>
      <c r="H47" s="8" t="s">
        <v>467</v>
      </c>
      <c r="I47" s="8" t="s">
        <v>467</v>
      </c>
      <c r="J47" s="8" t="s">
        <v>362</v>
      </c>
      <c r="K47" s="8" t="s">
        <v>362</v>
      </c>
      <c r="L47" s="8" t="s">
        <v>467</v>
      </c>
      <c r="M47" s="33"/>
      <c r="N47" s="8" t="s">
        <v>467</v>
      </c>
      <c r="O47" s="8" t="s">
        <v>362</v>
      </c>
      <c r="P47" s="8" t="s">
        <v>364</v>
      </c>
      <c r="Q47" s="8"/>
      <c r="R47" s="8"/>
      <c r="S47" s="8"/>
      <c r="T47" s="8"/>
      <c r="U47" s="33"/>
      <c r="V47" s="9">
        <f t="shared" si="0"/>
        <v>6</v>
      </c>
      <c r="W47" s="9">
        <f t="shared" si="1"/>
        <v>1</v>
      </c>
      <c r="X47" s="9">
        <f t="shared" si="2"/>
        <v>0</v>
      </c>
      <c r="Y47" s="9">
        <f t="shared" si="3"/>
        <v>4</v>
      </c>
      <c r="Z47" s="9">
        <f t="shared" si="4"/>
        <v>11</v>
      </c>
      <c r="AA47" s="10">
        <f t="shared" si="5"/>
        <v>0.54545454545454541</v>
      </c>
      <c r="AB47" s="11">
        <f t="shared" si="6"/>
        <v>5.4545454545454541</v>
      </c>
      <c r="AC47" s="12" t="str">
        <f t="shared" si="7"/>
        <v>OK</v>
      </c>
      <c r="AD47" s="8">
        <v>100</v>
      </c>
      <c r="AE47" s="8">
        <v>100</v>
      </c>
      <c r="AF47" s="8">
        <v>89</v>
      </c>
      <c r="AG47" s="8"/>
      <c r="AH47" s="8"/>
      <c r="AI47" s="16">
        <f t="shared" si="8"/>
        <v>96.333333333333329</v>
      </c>
      <c r="AJ47" s="13">
        <f t="shared" si="9"/>
        <v>14.45</v>
      </c>
      <c r="AK47" s="8">
        <v>100</v>
      </c>
      <c r="AL47" s="8">
        <v>100</v>
      </c>
      <c r="AM47" s="8">
        <v>100</v>
      </c>
      <c r="AN47" s="8"/>
      <c r="AO47" s="8"/>
      <c r="AP47" s="16">
        <f t="shared" si="10"/>
        <v>100</v>
      </c>
      <c r="AQ47" s="13">
        <f t="shared" si="11"/>
        <v>25</v>
      </c>
      <c r="AR47" s="8">
        <v>100</v>
      </c>
      <c r="AS47" s="8">
        <v>100</v>
      </c>
      <c r="AT47" s="8">
        <v>0</v>
      </c>
      <c r="AU47" s="8"/>
      <c r="AV47" s="8"/>
      <c r="AW47" s="16">
        <f t="shared" si="12"/>
        <v>66.666666666666671</v>
      </c>
      <c r="AX47" s="13">
        <f t="shared" si="13"/>
        <v>6.6666666666666679</v>
      </c>
      <c r="AY47" s="8">
        <v>50</v>
      </c>
      <c r="AZ47" s="13">
        <f t="shared" si="19"/>
        <v>20</v>
      </c>
      <c r="BA47" s="13">
        <v>1</v>
      </c>
      <c r="BB47" s="8"/>
      <c r="BC47" s="13" t="str">
        <f t="shared" si="14"/>
        <v/>
      </c>
      <c r="BD47" s="8"/>
      <c r="BE47" s="13" t="str">
        <f t="shared" si="15"/>
        <v/>
      </c>
      <c r="BF47" s="14">
        <f t="shared" si="16"/>
        <v>71.571212121212127</v>
      </c>
      <c r="BG47" s="15" t="str">
        <f t="shared" si="17"/>
        <v>B</v>
      </c>
      <c r="BH47" s="15" t="str">
        <f t="shared" si="18"/>
        <v>PASS</v>
      </c>
    </row>
  </sheetData>
  <autoFilter ref="A14:BH47" xr:uid="{00000000-0001-0000-0300-000000000000}"/>
  <mergeCells count="30">
    <mergeCell ref="H6:P6"/>
    <mergeCell ref="E12:L12"/>
    <mergeCell ref="V12:AC12"/>
    <mergeCell ref="AY12:AZ12"/>
    <mergeCell ref="BF12:BH12"/>
    <mergeCell ref="H7:P7"/>
    <mergeCell ref="BA12:BC12"/>
    <mergeCell ref="A12:A14"/>
    <mergeCell ref="C12:C14"/>
    <mergeCell ref="AD12:AJ12"/>
    <mergeCell ref="A8:F8"/>
    <mergeCell ref="M12:M47"/>
    <mergeCell ref="D12:D14"/>
    <mergeCell ref="U12:U47"/>
    <mergeCell ref="A1:BH1"/>
    <mergeCell ref="A10:F10"/>
    <mergeCell ref="BD12:BE12"/>
    <mergeCell ref="A9:F9"/>
    <mergeCell ref="H8:P8"/>
    <mergeCell ref="AK12:AQ12"/>
    <mergeCell ref="N12:T12"/>
    <mergeCell ref="A3:BH3"/>
    <mergeCell ref="H10:P10"/>
    <mergeCell ref="A2:BH2"/>
    <mergeCell ref="A6:F6"/>
    <mergeCell ref="H9:P9"/>
    <mergeCell ref="A5:BH5"/>
    <mergeCell ref="A7:F7"/>
    <mergeCell ref="B12:B14"/>
    <mergeCell ref="AR12:AX12"/>
  </mergeCells>
  <conditionalFormatting sqref="E15:L47 N15:T47">
    <cfRule type="cellIs" dxfId="14" priority="1" operator="equal">
      <formula>"P"</formula>
    </cfRule>
    <cfRule type="cellIs" dxfId="13" priority="2" operator="equal">
      <formula>"A"</formula>
    </cfRule>
    <cfRule type="cellIs" dxfId="12" priority="3" operator="equal">
      <formula>"E"</formula>
    </cfRule>
    <cfRule type="cellIs" dxfId="11" priority="4" operator="equal">
      <formula>"NC"</formula>
    </cfRule>
  </conditionalFormatting>
  <conditionalFormatting sqref="W15:W47">
    <cfRule type="cellIs" dxfId="10" priority="5" operator="greaterThan">
      <formula>4</formula>
    </cfRule>
    <cfRule type="cellIs" dxfId="9" priority="6" operator="equal">
      <formula>4</formula>
    </cfRule>
    <cfRule type="cellIs" dxfId="8" priority="7" operator="equal">
      <formula>3</formula>
    </cfRule>
  </conditionalFormatting>
  <conditionalFormatting sqref="AC15:AC47">
    <cfRule type="cellIs" dxfId="7" priority="8" operator="equal">
      <formula>"EXCEEDED ABSENCE LIMIT"</formula>
    </cfRule>
    <cfRule type="cellIs" dxfId="6" priority="9" operator="equal">
      <formula>"MAXIMUM ABSENCES REACHED"</formula>
    </cfRule>
    <cfRule type="cellIs" dxfId="5" priority="10" operator="equal">
      <formula>"WARNING: 3 absences"</formula>
    </cfRule>
  </conditionalFormatting>
  <conditionalFormatting sqref="BF15:BF47">
    <cfRule type="expression" dxfId="4" priority="14">
      <formula>AND(BF15&gt;=50,BH15&lt;&gt;"IN PROGRESS")</formula>
    </cfRule>
    <cfRule type="expression" dxfId="3" priority="15">
      <formula>AND(BF15&lt;50,BH15&lt;&gt;"IN PROGRESS")</formula>
    </cfRule>
  </conditionalFormatting>
  <conditionalFormatting sqref="BH15:BH47">
    <cfRule type="cellIs" dxfId="2" priority="11" operator="equal">
      <formula>"PASS"</formula>
    </cfRule>
    <cfRule type="cellIs" dxfId="1" priority="12" operator="equal">
      <formula>"NOT PASS"</formula>
    </cfRule>
    <cfRule type="cellIs" dxfId="0" priority="13" operator="equal">
      <formula>"IN PROGRESS"</formula>
    </cfRule>
  </conditionalFormatting>
  <dataValidations count="2">
    <dataValidation type="list" allowBlank="1" errorTitle="Invalid attendance code" error="Enter P, A, E, or NC only." sqref="E15:T47" xr:uid="{00000000-0002-0000-0300-000000000000}">
      <formula1>"P,A,E,NC"</formula1>
    </dataValidation>
    <dataValidation type="decimal" allowBlank="1" errorTitle="Invalid score" error="Score must be between 0 and 100." sqref="AD15:AH47 BD15:BD47 BB15:BB47 AY15:AY47 AK15:AO47 AR15:AV47" xr:uid="{00000000-0002-0000-0300-000001000000}">
      <formula1>0</formula1>
      <formula2>100</formula2>
    </dataValidation>
  </dataValidations>
  <pageMargins left="0.3" right="0.3" top="0.4" bottom="0.4" header="0.5" footer="0.5"/>
  <pageSetup fitToHeight="0" orientation="landscape"/>
  <headerFooter>
    <oddHeader>&amp;CEnglish for MICE Industries (EWT Groups) — Semester Gradebook</oddHeader>
    <oddFooter>&amp;CMICE EWT —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EFC</vt:lpstr>
      <vt:lpstr>MICE TBM</vt:lpstr>
      <vt:lpstr>Wellness Tourism</vt:lpstr>
      <vt:lpstr>MICE EWT</vt:lpstr>
      <vt:lpstr>EFC!Print_Titles</vt:lpstr>
      <vt:lpstr>'MICE EWT'!Print_Titles</vt:lpstr>
      <vt:lpstr>'MICE TBM'!Print_Titles</vt:lpstr>
      <vt:lpstr>'Wellness Tourism'!Print_Titles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X</cp:lastModifiedBy>
  <dcterms:created xsi:type="dcterms:W3CDTF">2026-09-22T18:08:38Z</dcterms:created>
  <dcterms:modified xsi:type="dcterms:W3CDTF">2026-09-26T14:09:47Z</dcterms:modified>
</cp:coreProperties>
</file>